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, nr random" sheetId="1" r:id="rId5"/>
    <sheet state="visible" name="N Liste, nr random" sheetId="2" r:id="rId6"/>
    <sheet state="visible" name="Lista sortata" sheetId="3" r:id="rId7"/>
    <sheet state="visible" name="Lista aproape sortata (~98%)" sheetId="4" r:id="rId8"/>
    <sheet state="visible" name="Lista invers sortata" sheetId="5" r:id="rId9"/>
  </sheets>
  <definedNames/>
  <calcPr/>
</workbook>
</file>

<file path=xl/sharedStrings.xml><?xml version="1.0" encoding="utf-8"?>
<sst xmlns="http://schemas.openxmlformats.org/spreadsheetml/2006/main" count="257" uniqueCount="23">
  <si>
    <t>n</t>
  </si>
  <si>
    <t>Insertion</t>
  </si>
  <si>
    <t>Selection</t>
  </si>
  <si>
    <t>DoubleSelection</t>
  </si>
  <si>
    <t>Quick</t>
  </si>
  <si>
    <t>Bucket</t>
  </si>
  <si>
    <t>Radix</t>
  </si>
  <si>
    <t>Heap</t>
  </si>
  <si>
    <t>Tim</t>
  </si>
  <si>
    <t>nr random mari</t>
  </si>
  <si>
    <t>nr random mici</t>
  </si>
  <si>
    <t>test1</t>
  </si>
  <si>
    <t>test2</t>
  </si>
  <si>
    <t>test3</t>
  </si>
  <si>
    <t>mediu</t>
  </si>
  <si>
    <t>timp (nr mari)</t>
  </si>
  <si>
    <t>timp (nr mici)</t>
  </si>
  <si>
    <t>Numar de liste</t>
  </si>
  <si>
    <t>cu 10 elemente</t>
  </si>
  <si>
    <t>cu 50 elemente</t>
  </si>
  <si>
    <t>cu 100 elemente</t>
  </si>
  <si>
    <t>cu 1000 elemente</t>
  </si>
  <si>
    <t>Numar de elemente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</si>
</sst>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0.00000000000"/>
    <numFmt numFmtId="165" formatCode="0.000000000"/>
    <numFmt numFmtId="166" formatCode="#,##0.000"/>
    <numFmt numFmtId="167" formatCode="0.000000"/>
    <numFmt numFmtId="168" formatCode="0.000"/>
    <numFmt numFmtId="169" formatCode="#,##0.0000000"/>
    <numFmt numFmtId="170" formatCode="#,##0.000000"/>
    <numFmt numFmtId="171" formatCode="#,##0.00000000"/>
    <numFmt numFmtId="172" formatCode="#,##0.00000"/>
  </numFmts>
  <fonts count="6">
    <font>
      <sz val="10.0"/>
      <color rgb="FF000000"/>
      <name val="Arial"/>
      <scheme val="minor"/>
    </font>
    <font>
      <sz val="10.0"/>
      <color theme="1"/>
      <name val="Arial"/>
    </font>
    <font/>
    <font>
      <sz val="12.0"/>
      <color theme="1"/>
      <name val="Arial"/>
    </font>
    <font>
      <sz val="12.0"/>
      <color theme="1"/>
      <name val="&quot;gg sans&quot;"/>
    </font>
    <font>
      <sz val="10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BF9000"/>
        <bgColor rgb="FFBF9000"/>
      </patternFill>
    </fill>
    <fill>
      <patternFill patternType="solid">
        <fgColor rgb="FF00FF00"/>
        <bgColor rgb="FF00FF00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CFE2F3"/>
        <bgColor rgb="FFCFE2F3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76A5AF"/>
        <bgColor rgb="FF76A5AF"/>
      </patternFill>
    </fill>
    <fill>
      <patternFill patternType="solid">
        <fgColor rgb="FF6FA8DC"/>
        <bgColor rgb="FF6FA8DC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theme="0"/>
        <bgColor theme="0"/>
      </patternFill>
    </fill>
  </fills>
  <borders count="1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1" numFmtId="0" xfId="0" applyBorder="1" applyFill="1" applyFont="1"/>
    <xf borderId="3" fillId="0" fontId="2" numFmtId="0" xfId="0" applyBorder="1" applyFont="1"/>
    <xf borderId="2" fillId="4" fontId="1" numFmtId="0" xfId="0" applyBorder="1" applyFill="1" applyFont="1"/>
    <xf borderId="2" fillId="5" fontId="1" numFmtId="0" xfId="0" applyBorder="1" applyFill="1" applyFont="1"/>
    <xf borderId="2" fillId="6" fontId="1" numFmtId="0" xfId="0" applyBorder="1" applyFill="1" applyFont="1"/>
    <xf borderId="2" fillId="7" fontId="1" numFmtId="0" xfId="0" applyBorder="1" applyFill="1" applyFont="1"/>
    <xf borderId="2" fillId="8" fontId="1" numFmtId="0" xfId="0" applyBorder="1" applyFill="1" applyFont="1"/>
    <xf borderId="2" fillId="9" fontId="1" numFmtId="0" xfId="0" applyBorder="1" applyFill="1" applyFont="1"/>
    <xf borderId="4" fillId="0" fontId="2" numFmtId="0" xfId="0" applyBorder="1" applyFont="1"/>
    <xf borderId="2" fillId="10" fontId="1" numFmtId="0" xfId="0" applyBorder="1" applyFill="1" applyFont="1"/>
    <xf borderId="5" fillId="2" fontId="3" numFmtId="0" xfId="0" applyAlignment="1" applyBorder="1" applyFont="1">
      <alignment horizontal="left"/>
    </xf>
    <xf borderId="6" fillId="11" fontId="1" numFmtId="0" xfId="0" applyBorder="1" applyFill="1" applyFont="1"/>
    <xf borderId="7" fillId="11" fontId="1" numFmtId="0" xfId="0" applyBorder="1" applyFont="1"/>
    <xf borderId="7" fillId="12" fontId="1" numFmtId="0" xfId="0" applyBorder="1" applyFill="1" applyFont="1"/>
    <xf borderId="7" fillId="13" fontId="1" numFmtId="0" xfId="0" applyBorder="1" applyFill="1" applyFont="1"/>
    <xf borderId="7" fillId="14" fontId="1" numFmtId="0" xfId="0" applyBorder="1" applyFill="1" applyFont="1"/>
    <xf borderId="7" fillId="15" fontId="1" numFmtId="0" xfId="0" applyBorder="1" applyFill="1" applyFont="1"/>
    <xf borderId="7" fillId="16" fontId="1" numFmtId="0" xfId="0" applyBorder="1" applyFill="1" applyFont="1"/>
    <xf borderId="7" fillId="17" fontId="1" numFmtId="0" xfId="0" applyBorder="1" applyFill="1" applyFont="1"/>
    <xf borderId="7" fillId="18" fontId="1" numFmtId="0" xfId="0" applyBorder="1" applyFill="1" applyFont="1"/>
    <xf borderId="5" fillId="11" fontId="1" numFmtId="0" xfId="0" applyBorder="1" applyFont="1"/>
    <xf borderId="5" fillId="12" fontId="1" numFmtId="0" xfId="0" applyBorder="1" applyFont="1"/>
    <xf borderId="5" fillId="13" fontId="1" numFmtId="0" xfId="0" applyBorder="1" applyFont="1"/>
    <xf borderId="5" fillId="14" fontId="1" numFmtId="0" xfId="0" applyBorder="1" applyFont="1"/>
    <xf borderId="5" fillId="15" fontId="1" numFmtId="0" xfId="0" applyBorder="1" applyFont="1"/>
    <xf borderId="5" fillId="16" fontId="1" numFmtId="0" xfId="0" applyBorder="1" applyFont="1"/>
    <xf borderId="5" fillId="17" fontId="1" numFmtId="0" xfId="0" applyBorder="1" applyFont="1"/>
    <xf borderId="5" fillId="18" fontId="1" numFmtId="0" xfId="0" applyBorder="1" applyFont="1"/>
    <xf borderId="5" fillId="11" fontId="1" numFmtId="164" xfId="0" applyBorder="1" applyFont="1" applyNumberFormat="1"/>
    <xf borderId="5" fillId="13" fontId="1" numFmtId="164" xfId="0" applyBorder="1" applyFont="1" applyNumberFormat="1"/>
    <xf borderId="5" fillId="14" fontId="1" numFmtId="164" xfId="0" applyBorder="1" applyFont="1" applyNumberFormat="1"/>
    <xf borderId="5" fillId="15" fontId="1" numFmtId="164" xfId="0" applyBorder="1" applyFont="1" applyNumberFormat="1"/>
    <xf borderId="5" fillId="16" fontId="1" numFmtId="164" xfId="0" applyBorder="1" applyFont="1" applyNumberFormat="1"/>
    <xf borderId="5" fillId="17" fontId="1" numFmtId="164" xfId="0" applyBorder="1" applyFont="1" applyNumberFormat="1"/>
    <xf borderId="5" fillId="18" fontId="1" numFmtId="164" xfId="0" applyBorder="1" applyFont="1" applyNumberFormat="1"/>
    <xf borderId="8" fillId="19" fontId="1" numFmtId="0" xfId="0" applyBorder="1" applyFill="1" applyFont="1"/>
    <xf borderId="5" fillId="19" fontId="1" numFmtId="0" xfId="0" applyBorder="1" applyFont="1"/>
    <xf borderId="5" fillId="20" fontId="1" numFmtId="0" xfId="0" applyBorder="1" applyFill="1" applyFont="1"/>
    <xf borderId="5" fillId="21" fontId="1" numFmtId="0" xfId="0" applyBorder="1" applyFill="1" applyFont="1"/>
    <xf borderId="5" fillId="22" fontId="1" numFmtId="0" xfId="0" applyBorder="1" applyFill="1" applyFont="1"/>
    <xf borderId="5" fillId="23" fontId="1" numFmtId="0" xfId="0" applyBorder="1" applyFill="1" applyFont="1"/>
    <xf borderId="5" fillId="24" fontId="1" numFmtId="0" xfId="0" applyBorder="1" applyFill="1" applyFont="1"/>
    <xf borderId="5" fillId="25" fontId="1" numFmtId="0" xfId="0" applyBorder="1" applyFill="1" applyFont="1"/>
    <xf borderId="5" fillId="26" fontId="1" numFmtId="0" xfId="0" applyBorder="1" applyFill="1" applyFont="1"/>
    <xf borderId="5" fillId="19" fontId="1" numFmtId="164" xfId="0" applyBorder="1" applyFont="1" applyNumberFormat="1"/>
    <xf borderId="5" fillId="20" fontId="1" numFmtId="164" xfId="0" applyBorder="1" applyFont="1" applyNumberFormat="1"/>
    <xf borderId="5" fillId="21" fontId="1" numFmtId="164" xfId="0" applyBorder="1" applyFont="1" applyNumberFormat="1"/>
    <xf borderId="5" fillId="22" fontId="1" numFmtId="164" xfId="0" applyBorder="1" applyFont="1" applyNumberFormat="1"/>
    <xf borderId="5" fillId="23" fontId="1" numFmtId="164" xfId="0" applyBorder="1" applyFont="1" applyNumberFormat="1"/>
    <xf borderId="5" fillId="24" fontId="1" numFmtId="164" xfId="0" applyBorder="1" applyFont="1" applyNumberFormat="1"/>
    <xf borderId="5" fillId="25" fontId="1" numFmtId="164" xfId="0" applyBorder="1" applyFont="1" applyNumberFormat="1"/>
    <xf borderId="8" fillId="11" fontId="1" numFmtId="0" xfId="0" applyBorder="1" applyFont="1"/>
    <xf borderId="5" fillId="12" fontId="1" numFmtId="164" xfId="0" applyBorder="1" applyFont="1" applyNumberFormat="1"/>
    <xf borderId="5" fillId="13" fontId="1" numFmtId="165" xfId="0" applyBorder="1" applyFont="1" applyNumberFormat="1"/>
    <xf borderId="5" fillId="2" fontId="4" numFmtId="0" xfId="0" applyAlignment="1" applyBorder="1" applyFont="1">
      <alignment horizontal="left"/>
    </xf>
    <xf borderId="5" fillId="19" fontId="1" numFmtId="166" xfId="0" applyBorder="1" applyFont="1" applyNumberFormat="1"/>
    <xf borderId="5" fillId="20" fontId="1" numFmtId="166" xfId="0" applyBorder="1" applyFont="1" applyNumberFormat="1"/>
    <xf borderId="5" fillId="21" fontId="1" numFmtId="166" xfId="0" applyBorder="1" applyFont="1" applyNumberFormat="1"/>
    <xf borderId="5" fillId="22" fontId="1" numFmtId="166" xfId="0" applyBorder="1" applyFont="1" applyNumberFormat="1"/>
    <xf borderId="5" fillId="23" fontId="1" numFmtId="166" xfId="0" applyBorder="1" applyFont="1" applyNumberFormat="1"/>
    <xf borderId="5" fillId="24" fontId="1" numFmtId="166" xfId="0" applyBorder="1" applyFont="1" applyNumberFormat="1"/>
    <xf borderId="5" fillId="25" fontId="1" numFmtId="166" xfId="0" applyBorder="1" applyFont="1" applyNumberFormat="1"/>
    <xf borderId="5" fillId="26" fontId="1" numFmtId="166" xfId="0" applyBorder="1" applyFont="1" applyNumberFormat="1"/>
    <xf borderId="0" fillId="0" fontId="1" numFmtId="0" xfId="0" applyFont="1"/>
    <xf borderId="5" fillId="14" fontId="1" numFmtId="167" xfId="0" applyBorder="1" applyFont="1" applyNumberFormat="1"/>
    <xf borderId="5" fillId="22" fontId="1" numFmtId="0" xfId="0" applyAlignment="1" applyBorder="1" applyFont="1">
      <alignment readingOrder="0"/>
    </xf>
    <xf borderId="5" fillId="25" fontId="1" numFmtId="0" xfId="0" applyAlignment="1" applyBorder="1" applyFont="1">
      <alignment readingOrder="0"/>
    </xf>
    <xf borderId="5" fillId="22" fontId="1" numFmtId="168" xfId="0" applyBorder="1" applyFont="1" applyNumberFormat="1"/>
    <xf borderId="5" fillId="24" fontId="1" numFmtId="168" xfId="0" applyBorder="1" applyFont="1" applyNumberFormat="1"/>
    <xf borderId="0" fillId="0" fontId="1" numFmtId="166" xfId="0" applyFont="1" applyNumberFormat="1"/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1" numFmtId="0" xfId="0" applyBorder="1" applyFont="1"/>
    <xf borderId="5" fillId="8" fontId="1" numFmtId="0" xfId="0" applyBorder="1" applyFont="1"/>
    <xf borderId="5" fillId="9" fontId="1" numFmtId="0" xfId="0" applyBorder="1" applyFont="1"/>
    <xf borderId="5" fillId="10" fontId="1" numFmtId="0" xfId="0" applyBorder="1" applyFont="1"/>
    <xf borderId="5" fillId="11" fontId="1" numFmtId="166" xfId="0" applyBorder="1" applyFont="1" applyNumberFormat="1"/>
    <xf borderId="5" fillId="12" fontId="1" numFmtId="166" xfId="0" applyBorder="1" applyFont="1" applyNumberFormat="1"/>
    <xf borderId="5" fillId="13" fontId="1" numFmtId="166" xfId="0" applyBorder="1" applyFont="1" applyNumberFormat="1"/>
    <xf borderId="5" fillId="14" fontId="1" numFmtId="166" xfId="0" applyBorder="1" applyFont="1" applyNumberFormat="1"/>
    <xf borderId="5" fillId="15" fontId="1" numFmtId="166" xfId="0" applyBorder="1" applyFont="1" applyNumberFormat="1"/>
    <xf borderId="5" fillId="16" fontId="1" numFmtId="166" xfId="0" applyBorder="1" applyFont="1" applyNumberFormat="1"/>
    <xf borderId="5" fillId="17" fontId="1" numFmtId="166" xfId="0" applyBorder="1" applyFont="1" applyNumberFormat="1"/>
    <xf borderId="5" fillId="18" fontId="1" numFmtId="166" xfId="0" applyBorder="1" applyFont="1" applyNumberFormat="1"/>
    <xf borderId="1" fillId="27" fontId="1" numFmtId="166" xfId="0" applyBorder="1" applyFill="1" applyFont="1" applyNumberFormat="1"/>
    <xf borderId="5" fillId="21" fontId="1" numFmtId="4" xfId="0" applyBorder="1" applyFont="1" applyNumberFormat="1"/>
    <xf borderId="5" fillId="22" fontId="1" numFmtId="4" xfId="0" applyBorder="1" applyFont="1" applyNumberFormat="1"/>
    <xf borderId="5" fillId="23" fontId="1" numFmtId="4" xfId="0" applyBorder="1" applyFont="1" applyNumberFormat="1"/>
    <xf borderId="5" fillId="2" fontId="1" numFmtId="0" xfId="0" applyBorder="1" applyFont="1"/>
    <xf borderId="8" fillId="3" fontId="1" numFmtId="0" xfId="0" applyBorder="1" applyFont="1"/>
    <xf borderId="5" fillId="19" fontId="1" numFmtId="169" xfId="0" applyAlignment="1" applyBorder="1" applyFont="1" applyNumberFormat="1">
      <alignment readingOrder="0"/>
    </xf>
    <xf borderId="5" fillId="20" fontId="1" numFmtId="169" xfId="0" applyAlignment="1" applyBorder="1" applyFont="1" applyNumberFormat="1">
      <alignment readingOrder="0"/>
    </xf>
    <xf borderId="5" fillId="21" fontId="1" numFmtId="169" xfId="0" applyAlignment="1" applyBorder="1" applyFont="1" applyNumberFormat="1">
      <alignment readingOrder="0"/>
    </xf>
    <xf borderId="5" fillId="22" fontId="1" numFmtId="170" xfId="0" applyAlignment="1" applyBorder="1" applyFont="1" applyNumberFormat="1">
      <alignment readingOrder="0"/>
    </xf>
    <xf borderId="5" fillId="23" fontId="1" numFmtId="171" xfId="0" applyAlignment="1" applyBorder="1" applyFont="1" applyNumberFormat="1">
      <alignment readingOrder="0"/>
    </xf>
    <xf borderId="5" fillId="24" fontId="1" numFmtId="169" xfId="0" applyAlignment="1" applyBorder="1" applyFont="1" applyNumberFormat="1">
      <alignment readingOrder="0"/>
    </xf>
    <xf borderId="5" fillId="25" fontId="1" numFmtId="170" xfId="0" applyAlignment="1" applyBorder="1" applyFont="1" applyNumberFormat="1">
      <alignment readingOrder="0"/>
    </xf>
    <xf borderId="5" fillId="26" fontId="1" numFmtId="169" xfId="0" applyAlignment="1" applyBorder="1" applyFont="1" applyNumberFormat="1">
      <alignment readingOrder="0"/>
    </xf>
    <xf borderId="5" fillId="23" fontId="1" numFmtId="169" xfId="0" applyAlignment="1" applyBorder="1" applyFont="1" applyNumberFormat="1">
      <alignment readingOrder="0"/>
    </xf>
    <xf borderId="5" fillId="25" fontId="1" numFmtId="169" xfId="0" applyAlignment="1" applyBorder="1" applyFont="1" applyNumberFormat="1">
      <alignment readingOrder="0"/>
    </xf>
    <xf borderId="5" fillId="22" fontId="1" numFmtId="169" xfId="0" applyAlignment="1" applyBorder="1" applyFont="1" applyNumberFormat="1">
      <alignment readingOrder="0"/>
    </xf>
    <xf borderId="5" fillId="23" fontId="1" numFmtId="170" xfId="0" applyAlignment="1" applyBorder="1" applyFont="1" applyNumberFormat="1">
      <alignment readingOrder="0"/>
    </xf>
    <xf borderId="5" fillId="24" fontId="1" numFmtId="170" xfId="0" applyAlignment="1" applyBorder="1" applyFont="1" applyNumberFormat="1">
      <alignment readingOrder="0"/>
    </xf>
    <xf borderId="5" fillId="26" fontId="1" numFmtId="170" xfId="0" applyAlignment="1" applyBorder="1" applyFont="1" applyNumberFormat="1">
      <alignment readingOrder="0"/>
    </xf>
    <xf borderId="9" fillId="20" fontId="1" numFmtId="166" xfId="0" applyBorder="1" applyFont="1" applyNumberFormat="1"/>
    <xf borderId="9" fillId="21" fontId="1" numFmtId="3" xfId="0" applyBorder="1" applyFont="1" applyNumberFormat="1"/>
    <xf borderId="10" fillId="19" fontId="1" numFmtId="169" xfId="0" applyAlignment="1" applyBorder="1" applyFont="1" applyNumberFormat="1">
      <alignment readingOrder="0"/>
    </xf>
    <xf borderId="11" fillId="27" fontId="1" numFmtId="169" xfId="0" applyBorder="1" applyFont="1" applyNumberFormat="1"/>
    <xf borderId="12" fillId="27" fontId="1" numFmtId="169" xfId="0" applyBorder="1" applyFont="1" applyNumberFormat="1"/>
    <xf borderId="8" fillId="23" fontId="1" numFmtId="169" xfId="0" applyAlignment="1" applyBorder="1" applyFont="1" applyNumberFormat="1">
      <alignment readingOrder="0"/>
    </xf>
    <xf borderId="13" fillId="27" fontId="1" numFmtId="169" xfId="0" applyBorder="1" applyFont="1" applyNumberFormat="1"/>
    <xf borderId="1" fillId="27" fontId="1" numFmtId="169" xfId="0" applyBorder="1" applyFont="1" applyNumberFormat="1"/>
    <xf borderId="5" fillId="25" fontId="1" numFmtId="169" xfId="0" applyBorder="1" applyFont="1" applyNumberFormat="1"/>
    <xf borderId="5" fillId="26" fontId="1" numFmtId="169" xfId="0" applyBorder="1" applyFont="1" applyNumberFormat="1"/>
    <xf borderId="5" fillId="21" fontId="1" numFmtId="170" xfId="0" applyAlignment="1" applyBorder="1" applyFont="1" applyNumberFormat="1">
      <alignment readingOrder="0"/>
    </xf>
    <xf borderId="5" fillId="26" fontId="1" numFmtId="172" xfId="0" applyAlignment="1" applyBorder="1" applyFont="1" applyNumberFormat="1">
      <alignment readingOrder="0"/>
    </xf>
    <xf borderId="0" fillId="0" fontId="5" numFmtId="0" xfId="0" applyFont="1"/>
    <xf borderId="5" fillId="19" fontId="1" numFmtId="172" xfId="0" applyBorder="1" applyFont="1" applyNumberFormat="1"/>
    <xf borderId="5" fillId="20" fontId="1" numFmtId="172" xfId="0" applyBorder="1" applyFont="1" applyNumberFormat="1"/>
    <xf borderId="5" fillId="21" fontId="1" numFmtId="172" xfId="0" applyBorder="1" applyFont="1" applyNumberFormat="1"/>
    <xf borderId="5" fillId="22" fontId="1" numFmtId="172" xfId="0" applyBorder="1" applyFont="1" applyNumberFormat="1"/>
    <xf borderId="5" fillId="23" fontId="1" numFmtId="172" xfId="0" applyBorder="1" applyFont="1" applyNumberFormat="1"/>
    <xf borderId="5" fillId="24" fontId="1" numFmtId="172" xfId="0" applyBorder="1" applyFont="1" applyNumberFormat="1"/>
    <xf borderId="5" fillId="25" fontId="1" numFmtId="172" xfId="0" applyBorder="1" applyFont="1" applyNumberFormat="1"/>
    <xf borderId="5" fillId="26" fontId="1" numFmtId="172" xfId="0" applyBorder="1" applyFont="1" applyNumberFormat="1"/>
    <xf borderId="5" fillId="19" fontId="1" numFmtId="4" xfId="0" applyBorder="1" applyFont="1" applyNumberFormat="1"/>
    <xf borderId="9" fillId="19" fontId="1" numFmtId="166" xfId="0" applyBorder="1" applyFont="1" applyNumberFormat="1"/>
    <xf borderId="9" fillId="21" fontId="1" numFmtId="166" xfId="0" applyBorder="1" applyFont="1" applyNumberFormat="1"/>
    <xf borderId="12" fillId="27" fontId="1" numFmtId="166" xfId="0" applyBorder="1" applyFont="1" applyNumberFormat="1"/>
    <xf borderId="14" fillId="27" fontId="1" numFmtId="166" xfId="0" applyBorder="1" applyFont="1" applyNumberFormat="1"/>
    <xf borderId="15" fillId="27" fontId="1" numFmtId="0" xfId="0" applyBorder="1" applyFont="1"/>
    <xf borderId="5" fillId="22" fontId="1" numFmtId="172" xfId="0" applyAlignment="1" applyBorder="1" applyFont="1" applyNumberFormat="1">
      <alignment readingOrder="0"/>
    </xf>
    <xf borderId="5" fillId="23" fontId="1" numFmtId="166" xfId="0" applyAlignment="1" applyBorder="1" applyFont="1" applyNumberFormat="1">
      <alignment readingOrder="0"/>
    </xf>
    <xf borderId="5" fillId="24" fontId="1" numFmtId="166" xfId="0" applyAlignment="1" applyBorder="1" applyFont="1" applyNumberFormat="1">
      <alignment readingOrder="0"/>
    </xf>
    <xf borderId="5" fillId="25" fontId="1" numFmtId="166" xfId="0" applyAlignment="1" applyBorder="1" applyFont="1" applyNumberFormat="1">
      <alignment readingOrder="0"/>
    </xf>
    <xf borderId="5" fillId="26" fontId="1" numFmtId="166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17" width="13.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3"/>
      <c r="F1" s="5" t="s">
        <v>3</v>
      </c>
      <c r="G1" s="3"/>
      <c r="H1" s="6" t="s">
        <v>4</v>
      </c>
      <c r="I1" s="3"/>
      <c r="J1" s="7" t="s">
        <v>5</v>
      </c>
      <c r="K1" s="3"/>
      <c r="L1" s="8" t="s">
        <v>6</v>
      </c>
      <c r="M1" s="3"/>
      <c r="N1" s="9" t="s">
        <v>7</v>
      </c>
      <c r="O1" s="10"/>
      <c r="P1" s="11" t="s">
        <v>8</v>
      </c>
      <c r="Q1" s="10"/>
    </row>
    <row r="2" ht="15.75" customHeight="1">
      <c r="A2" s="12">
        <v>10.0</v>
      </c>
      <c r="B2" s="13" t="s">
        <v>9</v>
      </c>
      <c r="C2" s="14" t="s">
        <v>10</v>
      </c>
      <c r="D2" s="15" t="s">
        <v>9</v>
      </c>
      <c r="E2" s="15" t="s">
        <v>10</v>
      </c>
      <c r="F2" s="16" t="s">
        <v>9</v>
      </c>
      <c r="G2" s="16" t="s">
        <v>10</v>
      </c>
      <c r="H2" s="17" t="s">
        <v>9</v>
      </c>
      <c r="I2" s="17" t="s">
        <v>10</v>
      </c>
      <c r="J2" s="18" t="s">
        <v>9</v>
      </c>
      <c r="K2" s="18" t="s">
        <v>10</v>
      </c>
      <c r="L2" s="19" t="s">
        <v>9</v>
      </c>
      <c r="M2" s="19" t="s">
        <v>10</v>
      </c>
      <c r="N2" s="20" t="s">
        <v>9</v>
      </c>
      <c r="O2" s="20" t="s">
        <v>10</v>
      </c>
      <c r="P2" s="21" t="s">
        <v>9</v>
      </c>
      <c r="Q2" s="21" t="s">
        <v>10</v>
      </c>
    </row>
    <row r="3" ht="15.75" customHeight="1">
      <c r="A3" s="1" t="s">
        <v>11</v>
      </c>
      <c r="B3" s="22">
        <v>2.0E-6</v>
      </c>
      <c r="C3" s="22">
        <v>2.0E-6</v>
      </c>
      <c r="D3" s="23">
        <v>1.0E-6</v>
      </c>
      <c r="E3" s="23">
        <v>2.0E-6</v>
      </c>
      <c r="F3" s="24">
        <v>1.0E-6</v>
      </c>
      <c r="G3" s="24">
        <v>2.0E-6</v>
      </c>
      <c r="H3" s="25">
        <v>1.0E-6</v>
      </c>
      <c r="I3" s="25">
        <v>2.0E-6</v>
      </c>
      <c r="J3" s="26">
        <v>3.0E-6</v>
      </c>
      <c r="K3" s="26">
        <v>3.0E-6</v>
      </c>
      <c r="L3" s="27">
        <v>4.0E-6</v>
      </c>
      <c r="M3" s="27">
        <v>2.0E-6</v>
      </c>
      <c r="N3" s="28">
        <v>1.0E-6</v>
      </c>
      <c r="O3" s="28">
        <v>3.0E-6</v>
      </c>
      <c r="P3" s="29">
        <v>1.0E-6</v>
      </c>
      <c r="Q3" s="29">
        <v>1.1E-6</v>
      </c>
    </row>
    <row r="4" ht="15.75" customHeight="1">
      <c r="A4" s="1" t="s">
        <v>12</v>
      </c>
      <c r="B4" s="22">
        <v>1.0E-6</v>
      </c>
      <c r="C4" s="22">
        <v>1.0E-6</v>
      </c>
      <c r="D4" s="23">
        <v>1.0E-6</v>
      </c>
      <c r="E4" s="23">
        <v>2.0E-6</v>
      </c>
      <c r="F4" s="24">
        <v>1.0E-6</v>
      </c>
      <c r="G4" s="24">
        <v>1.0E-6</v>
      </c>
      <c r="H4" s="25">
        <v>1.0E-6</v>
      </c>
      <c r="I4" s="25">
        <v>1.0E-6</v>
      </c>
      <c r="J4" s="26">
        <v>3.0E-6</v>
      </c>
      <c r="K4" s="26">
        <v>3.0E-6</v>
      </c>
      <c r="L4" s="27">
        <v>2.0E-6</v>
      </c>
      <c r="M4" s="27">
        <v>3.0E-6</v>
      </c>
      <c r="N4" s="28">
        <v>2.0E-6</v>
      </c>
      <c r="O4" s="28">
        <v>3.0E-6</v>
      </c>
      <c r="P4" s="29">
        <v>1.0E-6</v>
      </c>
      <c r="Q4" s="29">
        <v>2.0E-6</v>
      </c>
    </row>
    <row r="5" ht="15.75" customHeight="1">
      <c r="A5" s="1" t="s">
        <v>13</v>
      </c>
      <c r="B5" s="22">
        <v>2.0E-6</v>
      </c>
      <c r="C5" s="22">
        <v>2.0E-6</v>
      </c>
      <c r="D5" s="23">
        <v>1.0E-6</v>
      </c>
      <c r="E5" s="23">
        <v>2.0E-6</v>
      </c>
      <c r="F5" s="24">
        <v>1.0E-6</v>
      </c>
      <c r="G5" s="24">
        <v>1.0E-6</v>
      </c>
      <c r="H5" s="25">
        <v>1.0E-6</v>
      </c>
      <c r="I5" s="25">
        <v>1.0E-6</v>
      </c>
      <c r="J5" s="26">
        <v>2.0E-6</v>
      </c>
      <c r="K5" s="26">
        <v>3.0E-6</v>
      </c>
      <c r="L5" s="27">
        <v>4.0E-6</v>
      </c>
      <c r="M5" s="27">
        <v>2.0E-6</v>
      </c>
      <c r="N5" s="28">
        <v>2.0E-6</v>
      </c>
      <c r="O5" s="28">
        <v>3.0E-6</v>
      </c>
      <c r="P5" s="29">
        <v>1.0E-6</v>
      </c>
      <c r="Q5" s="29">
        <v>1.0E-6</v>
      </c>
    </row>
    <row r="6" ht="15.75" customHeight="1">
      <c r="A6" s="1" t="s">
        <v>14</v>
      </c>
      <c r="B6" s="30">
        <f t="shared" ref="B6:Q6" si="1">AVERAGE(B3:B5)</f>
        <v>0.000001666666667</v>
      </c>
      <c r="C6" s="30">
        <f t="shared" si="1"/>
        <v>0.000001666666667</v>
      </c>
      <c r="D6" s="23">
        <f t="shared" si="1"/>
        <v>0.000001</v>
      </c>
      <c r="E6" s="23">
        <f t="shared" si="1"/>
        <v>0.000002</v>
      </c>
      <c r="F6" s="24">
        <f t="shared" si="1"/>
        <v>0.000001</v>
      </c>
      <c r="G6" s="31">
        <f t="shared" si="1"/>
        <v>0.000001333333333</v>
      </c>
      <c r="H6" s="25">
        <f t="shared" si="1"/>
        <v>0.000001</v>
      </c>
      <c r="I6" s="32">
        <f t="shared" si="1"/>
        <v>0.000001333333333</v>
      </c>
      <c r="J6" s="33">
        <f t="shared" si="1"/>
        <v>0.000002666666667</v>
      </c>
      <c r="K6" s="26">
        <f t="shared" si="1"/>
        <v>0.000003</v>
      </c>
      <c r="L6" s="34">
        <f t="shared" si="1"/>
        <v>0.000003333333333</v>
      </c>
      <c r="M6" s="34">
        <f t="shared" si="1"/>
        <v>0.000002333333333</v>
      </c>
      <c r="N6" s="35">
        <f t="shared" si="1"/>
        <v>0.000001666666667</v>
      </c>
      <c r="O6" s="28">
        <f t="shared" si="1"/>
        <v>0.000003</v>
      </c>
      <c r="P6" s="29">
        <f t="shared" si="1"/>
        <v>0.000001</v>
      </c>
      <c r="Q6" s="36">
        <f t="shared" si="1"/>
        <v>0.000001366666667</v>
      </c>
    </row>
    <row r="7" ht="15.75" customHeight="1">
      <c r="A7" s="12">
        <v>20.0</v>
      </c>
      <c r="B7" s="37" t="s">
        <v>9</v>
      </c>
      <c r="C7" s="38" t="s">
        <v>10</v>
      </c>
      <c r="D7" s="39" t="s">
        <v>9</v>
      </c>
      <c r="E7" s="39" t="s">
        <v>10</v>
      </c>
      <c r="F7" s="40" t="s">
        <v>9</v>
      </c>
      <c r="G7" s="40" t="s">
        <v>10</v>
      </c>
      <c r="H7" s="41" t="s">
        <v>9</v>
      </c>
      <c r="I7" s="41" t="s">
        <v>10</v>
      </c>
      <c r="J7" s="42" t="s">
        <v>9</v>
      </c>
      <c r="K7" s="42" t="s">
        <v>10</v>
      </c>
      <c r="L7" s="43" t="s">
        <v>9</v>
      </c>
      <c r="M7" s="43" t="s">
        <v>10</v>
      </c>
      <c r="N7" s="44" t="s">
        <v>9</v>
      </c>
      <c r="O7" s="44" t="s">
        <v>10</v>
      </c>
      <c r="P7" s="45" t="s">
        <v>9</v>
      </c>
      <c r="Q7" s="45" t="s">
        <v>10</v>
      </c>
    </row>
    <row r="8" ht="15.75" customHeight="1">
      <c r="A8" s="1" t="s">
        <v>11</v>
      </c>
      <c r="B8" s="38">
        <v>1.0E-6</v>
      </c>
      <c r="C8" s="38">
        <v>2.0E-6</v>
      </c>
      <c r="D8" s="39">
        <v>2.0E-6</v>
      </c>
      <c r="E8" s="39">
        <v>2.0E-6</v>
      </c>
      <c r="F8" s="40">
        <v>2.0E-6</v>
      </c>
      <c r="G8" s="40">
        <v>2.0E-6</v>
      </c>
      <c r="H8" s="41">
        <v>2.0E-6</v>
      </c>
      <c r="I8" s="41">
        <v>2.0E-6</v>
      </c>
      <c r="J8" s="42">
        <v>3.0E-6</v>
      </c>
      <c r="K8" s="42">
        <v>5.0E-6</v>
      </c>
      <c r="L8" s="43">
        <v>6.0E-6</v>
      </c>
      <c r="M8" s="43">
        <v>2.0E-6</v>
      </c>
      <c r="N8" s="44">
        <v>3.0E-6</v>
      </c>
      <c r="O8" s="44">
        <v>2.0E-6</v>
      </c>
      <c r="P8" s="45">
        <v>1.0E-6</v>
      </c>
      <c r="Q8" s="45">
        <v>1.0E-6</v>
      </c>
    </row>
    <row r="9" ht="15.75" customHeight="1">
      <c r="A9" s="1" t="s">
        <v>12</v>
      </c>
      <c r="B9" s="38">
        <v>2.0E-6</v>
      </c>
      <c r="C9" s="38">
        <v>1.0E-6</v>
      </c>
      <c r="D9" s="39">
        <v>2.0E-6</v>
      </c>
      <c r="E9" s="39">
        <v>1.0E-6</v>
      </c>
      <c r="F9" s="40">
        <v>2.0E-6</v>
      </c>
      <c r="G9" s="40">
        <v>1.0E-6</v>
      </c>
      <c r="H9" s="41">
        <v>2.0E-6</v>
      </c>
      <c r="I9" s="41">
        <v>1.0E-6</v>
      </c>
      <c r="J9" s="42">
        <v>4.0E-6</v>
      </c>
      <c r="K9" s="42">
        <v>3.0E-6</v>
      </c>
      <c r="L9" s="43">
        <v>6.0E-6</v>
      </c>
      <c r="M9" s="43">
        <v>2.0E-6</v>
      </c>
      <c r="N9" s="44">
        <v>3.0E-6</v>
      </c>
      <c r="O9" s="44">
        <v>2.0E-6</v>
      </c>
      <c r="P9" s="45">
        <v>1.0E-6</v>
      </c>
      <c r="Q9" s="45">
        <v>1.0E-6</v>
      </c>
    </row>
    <row r="10" ht="15.75" customHeight="1">
      <c r="A10" s="1" t="s">
        <v>13</v>
      </c>
      <c r="B10" s="38">
        <v>2.0E-6</v>
      </c>
      <c r="C10" s="38">
        <v>2.0E-6</v>
      </c>
      <c r="D10" s="39">
        <v>2.0E-6</v>
      </c>
      <c r="E10" s="39">
        <v>2.0E-6</v>
      </c>
      <c r="F10" s="40">
        <v>1.0E-6</v>
      </c>
      <c r="G10" s="40">
        <v>2.0E-6</v>
      </c>
      <c r="H10" s="41">
        <v>1.0E-6</v>
      </c>
      <c r="I10" s="41">
        <v>1.0E-6</v>
      </c>
      <c r="J10" s="42">
        <v>4.0E-6</v>
      </c>
      <c r="K10" s="42">
        <v>3.0E-6</v>
      </c>
      <c r="L10" s="43">
        <v>6.0E-6</v>
      </c>
      <c r="M10" s="43">
        <v>3.0E-6</v>
      </c>
      <c r="N10" s="44">
        <v>3.0E-6</v>
      </c>
      <c r="O10" s="44">
        <v>3.0E-6</v>
      </c>
      <c r="P10" s="45">
        <v>1.0E-6</v>
      </c>
      <c r="Q10" s="45">
        <v>1.0E-6</v>
      </c>
    </row>
    <row r="11" ht="15.75" customHeight="1">
      <c r="A11" s="1" t="s">
        <v>14</v>
      </c>
      <c r="B11" s="46">
        <f t="shared" ref="B11:Q11" si="2">AVERAGE(B8:B10)</f>
        <v>0.000001666666667</v>
      </c>
      <c r="C11" s="46">
        <f t="shared" si="2"/>
        <v>0.000001666666667</v>
      </c>
      <c r="D11" s="39">
        <f t="shared" si="2"/>
        <v>0.000002</v>
      </c>
      <c r="E11" s="47">
        <f t="shared" si="2"/>
        <v>0.000001666666667</v>
      </c>
      <c r="F11" s="48">
        <f t="shared" si="2"/>
        <v>0.000001666666667</v>
      </c>
      <c r="G11" s="48">
        <f t="shared" si="2"/>
        <v>0.000001666666667</v>
      </c>
      <c r="H11" s="49">
        <f t="shared" si="2"/>
        <v>0.000001666666667</v>
      </c>
      <c r="I11" s="49">
        <f t="shared" si="2"/>
        <v>0.000001333333333</v>
      </c>
      <c r="J11" s="50">
        <f t="shared" si="2"/>
        <v>0.000003666666667</v>
      </c>
      <c r="K11" s="50">
        <f t="shared" si="2"/>
        <v>0.000003666666667</v>
      </c>
      <c r="L11" s="43">
        <f t="shared" si="2"/>
        <v>0.000006</v>
      </c>
      <c r="M11" s="51">
        <f t="shared" si="2"/>
        <v>0.000002333333333</v>
      </c>
      <c r="N11" s="44">
        <f t="shared" si="2"/>
        <v>0.000003</v>
      </c>
      <c r="O11" s="52">
        <f t="shared" si="2"/>
        <v>0.000002333333333</v>
      </c>
      <c r="P11" s="45">
        <f t="shared" si="2"/>
        <v>0.000001</v>
      </c>
      <c r="Q11" s="45">
        <f t="shared" si="2"/>
        <v>0.000001</v>
      </c>
    </row>
    <row r="12" ht="15.75" customHeight="1">
      <c r="A12" s="12">
        <v>50.0</v>
      </c>
      <c r="B12" s="53" t="s">
        <v>9</v>
      </c>
      <c r="C12" s="22" t="s">
        <v>10</v>
      </c>
      <c r="D12" s="23" t="s">
        <v>9</v>
      </c>
      <c r="E12" s="23" t="s">
        <v>10</v>
      </c>
      <c r="F12" s="24" t="s">
        <v>9</v>
      </c>
      <c r="G12" s="24" t="s">
        <v>10</v>
      </c>
      <c r="H12" s="25" t="s">
        <v>9</v>
      </c>
      <c r="I12" s="25" t="s">
        <v>10</v>
      </c>
      <c r="J12" s="26" t="s">
        <v>15</v>
      </c>
      <c r="K12" s="26" t="s">
        <v>16</v>
      </c>
      <c r="L12" s="27" t="s">
        <v>9</v>
      </c>
      <c r="M12" s="27" t="s">
        <v>10</v>
      </c>
      <c r="N12" s="28" t="s">
        <v>9</v>
      </c>
      <c r="O12" s="28" t="s">
        <v>10</v>
      </c>
      <c r="P12" s="29" t="s">
        <v>9</v>
      </c>
      <c r="Q12" s="29" t="s">
        <v>10</v>
      </c>
    </row>
    <row r="13" ht="15.75" customHeight="1">
      <c r="A13" s="1" t="s">
        <v>11</v>
      </c>
      <c r="B13" s="22">
        <v>3.0E-6</v>
      </c>
      <c r="C13" s="22">
        <v>4.0E-6</v>
      </c>
      <c r="D13" s="23">
        <v>7.0E-6</v>
      </c>
      <c r="E13" s="23">
        <v>6.0E-6</v>
      </c>
      <c r="F13" s="24">
        <v>5.0E-6</v>
      </c>
      <c r="G13" s="24">
        <v>4.0E-6</v>
      </c>
      <c r="H13" s="25">
        <v>4.0E-6</v>
      </c>
      <c r="I13" s="25">
        <v>4.0E-6</v>
      </c>
      <c r="J13" s="26">
        <v>7.0E-6</v>
      </c>
      <c r="K13" s="26">
        <v>5.0E-6</v>
      </c>
      <c r="L13" s="27">
        <v>1.1E-5</v>
      </c>
      <c r="M13" s="27">
        <v>4.0E-6</v>
      </c>
      <c r="N13" s="28">
        <v>7.0E-6</v>
      </c>
      <c r="O13" s="28">
        <v>6.0E-6</v>
      </c>
      <c r="P13" s="29">
        <v>4.0E-6</v>
      </c>
      <c r="Q13" s="29">
        <v>3.0E-6</v>
      </c>
    </row>
    <row r="14" ht="15.75" customHeight="1">
      <c r="A14" s="1" t="s">
        <v>12</v>
      </c>
      <c r="B14" s="22">
        <v>4.0E-6</v>
      </c>
      <c r="C14" s="22">
        <v>3.0E-6</v>
      </c>
      <c r="D14" s="23">
        <v>1.3E-5</v>
      </c>
      <c r="E14" s="23">
        <v>6.0E-6</v>
      </c>
      <c r="F14" s="24">
        <v>5.0E-6</v>
      </c>
      <c r="G14" s="24">
        <v>6.0E-6</v>
      </c>
      <c r="H14" s="25">
        <v>3.0E-6</v>
      </c>
      <c r="I14" s="25">
        <v>3.0E-6</v>
      </c>
      <c r="J14" s="26">
        <v>7.0E-6</v>
      </c>
      <c r="K14" s="26">
        <v>7.0E-6</v>
      </c>
      <c r="L14" s="27">
        <v>1.1E-5</v>
      </c>
      <c r="M14" s="27">
        <v>3.0E-6</v>
      </c>
      <c r="N14" s="28">
        <v>6.0E-6</v>
      </c>
      <c r="O14" s="28">
        <v>6.0E-6</v>
      </c>
      <c r="P14" s="29">
        <v>3.0E-6</v>
      </c>
      <c r="Q14" s="29">
        <v>3.0E-6</v>
      </c>
    </row>
    <row r="15" ht="15.75" customHeight="1">
      <c r="A15" s="1" t="s">
        <v>13</v>
      </c>
      <c r="B15" s="22">
        <v>4.0E-6</v>
      </c>
      <c r="C15" s="22">
        <v>3.0E-6</v>
      </c>
      <c r="D15" s="23">
        <v>7.0E-6</v>
      </c>
      <c r="E15" s="23">
        <v>6.0E-6</v>
      </c>
      <c r="F15" s="24">
        <v>5.0E-6</v>
      </c>
      <c r="G15" s="24">
        <v>5.0E-6</v>
      </c>
      <c r="H15" s="25">
        <v>4.0E-6</v>
      </c>
      <c r="I15" s="25">
        <v>4.0E-6</v>
      </c>
      <c r="J15" s="26">
        <v>6.0E-6</v>
      </c>
      <c r="K15" s="26">
        <v>8.0E-6</v>
      </c>
      <c r="L15" s="27">
        <v>1.2E-5</v>
      </c>
      <c r="M15" s="27">
        <v>4.0E-6</v>
      </c>
      <c r="N15" s="28">
        <v>7.0E-6</v>
      </c>
      <c r="O15" s="28">
        <v>6.0E-6</v>
      </c>
      <c r="P15" s="29">
        <v>3.0E-6</v>
      </c>
      <c r="Q15" s="29">
        <v>3.0E-6</v>
      </c>
    </row>
    <row r="16" ht="15.75" customHeight="1">
      <c r="A16" s="1" t="s">
        <v>14</v>
      </c>
      <c r="B16" s="30">
        <f t="shared" ref="B16:Q16" si="3">AVERAGE(B13:B15)</f>
        <v>0.000003666666667</v>
      </c>
      <c r="C16" s="30">
        <f t="shared" si="3"/>
        <v>0.000003333333333</v>
      </c>
      <c r="D16" s="23">
        <f t="shared" si="3"/>
        <v>0.000009</v>
      </c>
      <c r="E16" s="23">
        <f t="shared" si="3"/>
        <v>0.000006</v>
      </c>
      <c r="F16" s="24">
        <f t="shared" si="3"/>
        <v>0.000005</v>
      </c>
      <c r="G16" s="24">
        <f t="shared" si="3"/>
        <v>0.000005</v>
      </c>
      <c r="H16" s="32">
        <f t="shared" si="3"/>
        <v>0.000003666666667</v>
      </c>
      <c r="I16" s="32">
        <f t="shared" si="3"/>
        <v>0.000003666666667</v>
      </c>
      <c r="J16" s="33">
        <f t="shared" si="3"/>
        <v>0.000006666666667</v>
      </c>
      <c r="K16" s="33">
        <f t="shared" si="3"/>
        <v>0.000006666666667</v>
      </c>
      <c r="L16" s="34">
        <f t="shared" si="3"/>
        <v>0.00001133333333</v>
      </c>
      <c r="M16" s="34">
        <f t="shared" si="3"/>
        <v>0.000003666666667</v>
      </c>
      <c r="N16" s="35">
        <f t="shared" si="3"/>
        <v>0.000006666666667</v>
      </c>
      <c r="O16" s="28">
        <f t="shared" si="3"/>
        <v>0.000006</v>
      </c>
      <c r="P16" s="36">
        <f t="shared" si="3"/>
        <v>0.000003333333333</v>
      </c>
      <c r="Q16" s="29">
        <f t="shared" si="3"/>
        <v>0.000003</v>
      </c>
    </row>
    <row r="17" ht="15.75" customHeight="1">
      <c r="A17" s="12">
        <v>100.0</v>
      </c>
      <c r="B17" s="37" t="s">
        <v>9</v>
      </c>
      <c r="C17" s="38" t="s">
        <v>10</v>
      </c>
      <c r="D17" s="39" t="s">
        <v>9</v>
      </c>
      <c r="E17" s="39" t="s">
        <v>10</v>
      </c>
      <c r="F17" s="40" t="s">
        <v>9</v>
      </c>
      <c r="G17" s="40" t="s">
        <v>10</v>
      </c>
      <c r="H17" s="41" t="s">
        <v>9</v>
      </c>
      <c r="I17" s="41" t="s">
        <v>10</v>
      </c>
      <c r="J17" s="42" t="s">
        <v>15</v>
      </c>
      <c r="K17" s="42" t="s">
        <v>16</v>
      </c>
      <c r="L17" s="43" t="s">
        <v>9</v>
      </c>
      <c r="M17" s="43" t="s">
        <v>10</v>
      </c>
      <c r="N17" s="44" t="s">
        <v>9</v>
      </c>
      <c r="O17" s="44" t="s">
        <v>10</v>
      </c>
      <c r="P17" s="45" t="s">
        <v>9</v>
      </c>
      <c r="Q17" s="45" t="s">
        <v>10</v>
      </c>
    </row>
    <row r="18" ht="15.75" customHeight="1">
      <c r="A18" s="1" t="s">
        <v>11</v>
      </c>
      <c r="B18" s="38">
        <v>1.1E-5</v>
      </c>
      <c r="C18" s="38">
        <v>8.0E-6</v>
      </c>
      <c r="D18" s="39">
        <v>1.9E-5</v>
      </c>
      <c r="E18" s="39">
        <v>2.0E-5</v>
      </c>
      <c r="F18" s="40">
        <v>1.4E-5</v>
      </c>
      <c r="G18" s="40">
        <v>1.6E-5</v>
      </c>
      <c r="H18" s="41">
        <v>8.0E-6</v>
      </c>
      <c r="I18" s="41">
        <v>6.0E-6</v>
      </c>
      <c r="J18" s="42">
        <v>9.0E-6</v>
      </c>
      <c r="K18" s="42">
        <v>8.0E-6</v>
      </c>
      <c r="L18" s="43">
        <v>2.2E-5</v>
      </c>
      <c r="M18" s="43">
        <v>4.0E-6</v>
      </c>
      <c r="N18" s="44">
        <v>1.3E-5</v>
      </c>
      <c r="O18" s="44">
        <v>1.1E-5</v>
      </c>
      <c r="P18" s="45">
        <v>8.0E-6</v>
      </c>
      <c r="Q18" s="45">
        <v>6.0E-6</v>
      </c>
    </row>
    <row r="19" ht="15.75" customHeight="1">
      <c r="A19" s="1" t="s">
        <v>12</v>
      </c>
      <c r="B19" s="38">
        <v>9.0E-6</v>
      </c>
      <c r="C19" s="38">
        <v>8.0E-6</v>
      </c>
      <c r="D19" s="39">
        <v>2.4E-5</v>
      </c>
      <c r="E19" s="39">
        <v>1.8E-5</v>
      </c>
      <c r="F19" s="40">
        <v>1.4E-5</v>
      </c>
      <c r="G19" s="40">
        <v>1.5E-5</v>
      </c>
      <c r="H19" s="41">
        <v>7.0E-6</v>
      </c>
      <c r="I19" s="41">
        <v>7.0E-6</v>
      </c>
      <c r="J19" s="42">
        <v>1.2E-5</v>
      </c>
      <c r="K19" s="42">
        <v>1.1E-5</v>
      </c>
      <c r="L19" s="43">
        <v>2.1E-5</v>
      </c>
      <c r="M19" s="43">
        <v>6.0E-6</v>
      </c>
      <c r="N19" s="44">
        <v>1.0E-5</v>
      </c>
      <c r="O19" s="44">
        <v>1.4E-5</v>
      </c>
      <c r="P19" s="45">
        <v>8.0E-6</v>
      </c>
      <c r="Q19" s="45">
        <v>8.0E-6</v>
      </c>
    </row>
    <row r="20" ht="15.75" customHeight="1">
      <c r="A20" s="1" t="s">
        <v>13</v>
      </c>
      <c r="B20" s="38">
        <v>9.0E-6</v>
      </c>
      <c r="C20" s="38">
        <v>9.0E-6</v>
      </c>
      <c r="D20" s="39">
        <v>1.7E-5</v>
      </c>
      <c r="E20" s="39">
        <v>1.7E-5</v>
      </c>
      <c r="F20" s="40">
        <v>1.4E-5</v>
      </c>
      <c r="G20" s="40">
        <v>1.6E-5</v>
      </c>
      <c r="H20" s="41">
        <v>7.0E-6</v>
      </c>
      <c r="I20" s="41">
        <v>7.0E-6</v>
      </c>
      <c r="J20" s="42">
        <v>1.1E-5</v>
      </c>
      <c r="K20" s="42">
        <v>1.7E-5</v>
      </c>
      <c r="L20" s="43">
        <v>2.1E-5</v>
      </c>
      <c r="M20" s="43">
        <v>5.0E-6</v>
      </c>
      <c r="N20" s="44">
        <v>1.1E-5</v>
      </c>
      <c r="O20" s="44">
        <v>1.2E-5</v>
      </c>
      <c r="P20" s="45">
        <v>7.0E-6</v>
      </c>
      <c r="Q20" s="45">
        <v>6.0E-6</v>
      </c>
    </row>
    <row r="21" ht="15.75" customHeight="1">
      <c r="A21" s="1" t="s">
        <v>14</v>
      </c>
      <c r="B21" s="46">
        <f t="shared" ref="B21:Q21" si="4">AVERAGE(B18:B20)</f>
        <v>0.000009666666667</v>
      </c>
      <c r="C21" s="46">
        <f t="shared" si="4"/>
        <v>0.000008333333333</v>
      </c>
      <c r="D21" s="39">
        <f t="shared" si="4"/>
        <v>0.00002</v>
      </c>
      <c r="E21" s="47">
        <f t="shared" si="4"/>
        <v>0.00001833333333</v>
      </c>
      <c r="F21" s="40">
        <f t="shared" si="4"/>
        <v>0.000014</v>
      </c>
      <c r="G21" s="48">
        <f t="shared" si="4"/>
        <v>0.00001566666667</v>
      </c>
      <c r="H21" s="49">
        <f t="shared" si="4"/>
        <v>0.000007333333333</v>
      </c>
      <c r="I21" s="49">
        <f t="shared" si="4"/>
        <v>0.000006666666667</v>
      </c>
      <c r="J21" s="42">
        <f t="shared" si="4"/>
        <v>0.00001066666667</v>
      </c>
      <c r="K21" s="42">
        <f t="shared" si="4"/>
        <v>0.000012</v>
      </c>
      <c r="L21" s="43">
        <f t="shared" si="4"/>
        <v>0.00002133333333</v>
      </c>
      <c r="M21" s="43">
        <f t="shared" si="4"/>
        <v>0.000005</v>
      </c>
      <c r="N21" s="44">
        <f t="shared" si="4"/>
        <v>0.00001133333333</v>
      </c>
      <c r="O21" s="44">
        <f t="shared" si="4"/>
        <v>0.00001233333333</v>
      </c>
      <c r="P21" s="45">
        <f t="shared" si="4"/>
        <v>0.000007666666667</v>
      </c>
      <c r="Q21" s="45">
        <f t="shared" si="4"/>
        <v>0.000006666666667</v>
      </c>
    </row>
    <row r="22" ht="15.75" customHeight="1">
      <c r="A22" s="12">
        <v>1000.0</v>
      </c>
      <c r="B22" s="53" t="s">
        <v>9</v>
      </c>
      <c r="C22" s="22" t="s">
        <v>10</v>
      </c>
      <c r="D22" s="23" t="s">
        <v>9</v>
      </c>
      <c r="E22" s="23" t="s">
        <v>10</v>
      </c>
      <c r="F22" s="24" t="s">
        <v>9</v>
      </c>
      <c r="G22" s="24" t="s">
        <v>10</v>
      </c>
      <c r="H22" s="25" t="s">
        <v>9</v>
      </c>
      <c r="I22" s="25" t="s">
        <v>10</v>
      </c>
      <c r="J22" s="26" t="s">
        <v>15</v>
      </c>
      <c r="K22" s="26" t="s">
        <v>16</v>
      </c>
      <c r="L22" s="27" t="s">
        <v>9</v>
      </c>
      <c r="M22" s="27" t="s">
        <v>10</v>
      </c>
      <c r="N22" s="28" t="s">
        <v>9</v>
      </c>
      <c r="O22" s="28" t="s">
        <v>10</v>
      </c>
      <c r="P22" s="29" t="s">
        <v>9</v>
      </c>
      <c r="Q22" s="29" t="s">
        <v>10</v>
      </c>
    </row>
    <row r="23" ht="15.75" customHeight="1">
      <c r="A23" s="1" t="s">
        <v>11</v>
      </c>
      <c r="B23" s="22">
        <v>6.53E-4</v>
      </c>
      <c r="C23" s="22">
        <v>7.82E-4</v>
      </c>
      <c r="D23" s="23">
        <v>0.001336</v>
      </c>
      <c r="E23" s="23">
        <v>0.001403</v>
      </c>
      <c r="F23" s="24">
        <v>7.88E-4</v>
      </c>
      <c r="G23" s="24">
        <v>7.89E-4</v>
      </c>
      <c r="H23" s="25">
        <v>8.8E-5</v>
      </c>
      <c r="I23" s="25">
        <v>8.7E-5</v>
      </c>
      <c r="J23" s="26">
        <v>8.0E-5</v>
      </c>
      <c r="K23" s="26">
        <v>7.9E-5</v>
      </c>
      <c r="L23" s="27">
        <v>1.35E-4</v>
      </c>
      <c r="M23" s="27">
        <v>5.9E-5</v>
      </c>
      <c r="N23" s="28">
        <v>1.46E-4</v>
      </c>
      <c r="O23" s="28">
        <v>1.5E-4</v>
      </c>
      <c r="P23" s="29">
        <v>9.6E-5</v>
      </c>
      <c r="Q23" s="29">
        <v>9.9E-5</v>
      </c>
    </row>
    <row r="24" ht="15.75" customHeight="1">
      <c r="A24" s="1" t="s">
        <v>12</v>
      </c>
      <c r="B24" s="22">
        <v>9.07E-4</v>
      </c>
      <c r="C24" s="22">
        <v>6.94E-4</v>
      </c>
      <c r="D24" s="23">
        <v>0.001543</v>
      </c>
      <c r="E24" s="23">
        <v>0.001336</v>
      </c>
      <c r="F24" s="24">
        <v>0.001389</v>
      </c>
      <c r="G24" s="24">
        <v>7.82E-4</v>
      </c>
      <c r="H24" s="25">
        <v>1.01E-4</v>
      </c>
      <c r="I24" s="25">
        <v>8.3E-5</v>
      </c>
      <c r="J24" s="26">
        <v>1.51E-4</v>
      </c>
      <c r="K24" s="26">
        <v>7.9E-5</v>
      </c>
      <c r="L24" s="27">
        <v>2.07E-4</v>
      </c>
      <c r="M24" s="27">
        <v>5.8E-5</v>
      </c>
      <c r="N24" s="28">
        <v>1.91E-4</v>
      </c>
      <c r="O24" s="28">
        <v>1.47E-4</v>
      </c>
      <c r="P24" s="29">
        <v>1.08E-4</v>
      </c>
      <c r="Q24" s="29">
        <v>8.9E-5</v>
      </c>
    </row>
    <row r="25" ht="15.75" customHeight="1">
      <c r="A25" s="1" t="s">
        <v>13</v>
      </c>
      <c r="B25" s="22">
        <v>7.06E-4</v>
      </c>
      <c r="C25" s="22">
        <v>6.88E-4</v>
      </c>
      <c r="D25" s="23">
        <v>0.001337</v>
      </c>
      <c r="E25" s="23">
        <v>0.001571</v>
      </c>
      <c r="F25" s="24">
        <v>0.001094</v>
      </c>
      <c r="G25" s="24">
        <v>0.001023</v>
      </c>
      <c r="H25" s="25">
        <v>9.6E-5</v>
      </c>
      <c r="I25" s="25">
        <v>9.7E-5</v>
      </c>
      <c r="J25" s="26">
        <v>7.6E-5</v>
      </c>
      <c r="K25" s="26">
        <v>1.03E-4</v>
      </c>
      <c r="L25" s="27">
        <v>1.34E-4</v>
      </c>
      <c r="M25" s="27">
        <v>8.1E-5</v>
      </c>
      <c r="N25" s="28">
        <v>1.66E-4</v>
      </c>
      <c r="O25" s="28">
        <v>1.45E-4</v>
      </c>
      <c r="P25" s="29">
        <v>8.8E-5</v>
      </c>
      <c r="Q25" s="29">
        <v>1.1E-4</v>
      </c>
    </row>
    <row r="26" ht="15.75" customHeight="1">
      <c r="A26" s="1" t="s">
        <v>14</v>
      </c>
      <c r="B26" s="30">
        <f t="shared" ref="B26:Q26" si="5">AVERAGE(B23:B25)</f>
        <v>0.0007553333333</v>
      </c>
      <c r="C26" s="22">
        <f t="shared" si="5"/>
        <v>0.0007213333333</v>
      </c>
      <c r="D26" s="54">
        <f t="shared" si="5"/>
        <v>0.001405333333</v>
      </c>
      <c r="E26" s="23">
        <f t="shared" si="5"/>
        <v>0.001436666667</v>
      </c>
      <c r="F26" s="31">
        <f t="shared" si="5"/>
        <v>0.001090333333</v>
      </c>
      <c r="G26" s="24">
        <f t="shared" si="5"/>
        <v>0.0008646666667</v>
      </c>
      <c r="H26" s="25">
        <f t="shared" si="5"/>
        <v>0.000095</v>
      </c>
      <c r="I26" s="25">
        <f t="shared" si="5"/>
        <v>0.000089</v>
      </c>
      <c r="J26" s="33">
        <f t="shared" si="5"/>
        <v>0.0001023333333</v>
      </c>
      <c r="K26" s="26">
        <f t="shared" si="5"/>
        <v>0.000087</v>
      </c>
      <c r="L26" s="34">
        <f t="shared" si="5"/>
        <v>0.0001586666667</v>
      </c>
      <c r="M26" s="27">
        <f t="shared" si="5"/>
        <v>0.000066</v>
      </c>
      <c r="N26" s="35">
        <f t="shared" si="5"/>
        <v>0.0001676666667</v>
      </c>
      <c r="O26" s="28">
        <f t="shared" si="5"/>
        <v>0.0001473333333</v>
      </c>
      <c r="P26" s="36">
        <f t="shared" si="5"/>
        <v>0.00009733333333</v>
      </c>
      <c r="Q26" s="29">
        <f t="shared" si="5"/>
        <v>0.00009933333333</v>
      </c>
    </row>
    <row r="27" ht="15.75" customHeight="1">
      <c r="A27" s="12">
        <v>10000.0</v>
      </c>
      <c r="B27" s="37" t="s">
        <v>9</v>
      </c>
      <c r="C27" s="38" t="s">
        <v>10</v>
      </c>
      <c r="D27" s="39" t="s">
        <v>9</v>
      </c>
      <c r="E27" s="39" t="s">
        <v>10</v>
      </c>
      <c r="F27" s="40" t="s">
        <v>9</v>
      </c>
      <c r="G27" s="40" t="s">
        <v>10</v>
      </c>
      <c r="H27" s="41" t="s">
        <v>9</v>
      </c>
      <c r="I27" s="41" t="s">
        <v>10</v>
      </c>
      <c r="J27" s="42" t="s">
        <v>15</v>
      </c>
      <c r="K27" s="42" t="s">
        <v>16</v>
      </c>
      <c r="L27" s="43" t="s">
        <v>9</v>
      </c>
      <c r="M27" s="43" t="s">
        <v>10</v>
      </c>
      <c r="N27" s="44" t="s">
        <v>9</v>
      </c>
      <c r="O27" s="44" t="s">
        <v>10</v>
      </c>
      <c r="P27" s="45" t="s">
        <v>9</v>
      </c>
      <c r="Q27" s="45" t="s">
        <v>10</v>
      </c>
    </row>
    <row r="28" ht="15.75" customHeight="1">
      <c r="A28" s="1" t="s">
        <v>11</v>
      </c>
      <c r="B28" s="38">
        <v>0.021</v>
      </c>
      <c r="C28" s="38">
        <v>0.021</v>
      </c>
      <c r="D28" s="39">
        <v>0.031</v>
      </c>
      <c r="E28" s="39">
        <v>0.032</v>
      </c>
      <c r="F28" s="40">
        <v>0.026</v>
      </c>
      <c r="G28" s="40">
        <v>0.026</v>
      </c>
      <c r="H28" s="41">
        <v>0.001</v>
      </c>
      <c r="I28" s="41">
        <v>0.001</v>
      </c>
      <c r="J28" s="42">
        <v>0.001</v>
      </c>
      <c r="K28" s="42">
        <v>0.001</v>
      </c>
      <c r="L28" s="43">
        <v>0.001</v>
      </c>
      <c r="M28" s="43">
        <v>0.001</v>
      </c>
      <c r="N28" s="44">
        <v>0.001</v>
      </c>
      <c r="O28" s="44">
        <v>0.001</v>
      </c>
      <c r="P28" s="45">
        <v>0.001</v>
      </c>
      <c r="Q28" s="45">
        <v>0.001</v>
      </c>
    </row>
    <row r="29" ht="15.75" customHeight="1">
      <c r="A29" s="1" t="s">
        <v>12</v>
      </c>
      <c r="B29" s="38">
        <v>0.02</v>
      </c>
      <c r="C29" s="38">
        <v>0.02</v>
      </c>
      <c r="D29" s="39">
        <v>0.032</v>
      </c>
      <c r="E29" s="39">
        <v>0.032</v>
      </c>
      <c r="F29" s="40">
        <v>0.025</v>
      </c>
      <c r="G29" s="40">
        <v>0.025</v>
      </c>
      <c r="H29" s="41">
        <v>0.001</v>
      </c>
      <c r="I29" s="41">
        <v>0.001</v>
      </c>
      <c r="J29" s="42">
        <v>0.001</v>
      </c>
      <c r="K29" s="42">
        <v>0.001</v>
      </c>
      <c r="L29" s="43">
        <v>0.001</v>
      </c>
      <c r="M29" s="43">
        <v>0.001</v>
      </c>
      <c r="N29" s="44">
        <v>0.001</v>
      </c>
      <c r="O29" s="44">
        <v>0.001</v>
      </c>
      <c r="P29" s="45">
        <v>0.001</v>
      </c>
      <c r="Q29" s="45">
        <v>0.001</v>
      </c>
    </row>
    <row r="30" ht="15.75" customHeight="1">
      <c r="A30" s="1" t="s">
        <v>13</v>
      </c>
      <c r="B30" s="38">
        <v>0.021</v>
      </c>
      <c r="C30" s="38">
        <v>0.02</v>
      </c>
      <c r="D30" s="39">
        <v>0.033</v>
      </c>
      <c r="E30" s="39">
        <v>0.032</v>
      </c>
      <c r="F30" s="40">
        <v>0.25</v>
      </c>
      <c r="G30" s="40">
        <v>0.25</v>
      </c>
      <c r="H30" s="41">
        <v>0.001</v>
      </c>
      <c r="I30" s="41">
        <v>0.001</v>
      </c>
      <c r="J30" s="42">
        <v>0.001</v>
      </c>
      <c r="K30" s="42">
        <v>0.001</v>
      </c>
      <c r="L30" s="43">
        <v>0.001</v>
      </c>
      <c r="M30" s="43">
        <v>0.001</v>
      </c>
      <c r="N30" s="44">
        <v>0.001</v>
      </c>
      <c r="O30" s="44">
        <v>0.001</v>
      </c>
      <c r="P30" s="45">
        <v>0.001</v>
      </c>
      <c r="Q30" s="45">
        <v>0.001</v>
      </c>
    </row>
    <row r="31" ht="15.75" customHeight="1">
      <c r="A31" s="1" t="s">
        <v>14</v>
      </c>
      <c r="B31" s="38">
        <f t="shared" ref="B31:G31" si="6">AVERAGE(B28:B30)</f>
        <v>0.02066666667</v>
      </c>
      <c r="C31" s="38">
        <f t="shared" si="6"/>
        <v>0.02033333333</v>
      </c>
      <c r="D31" s="39">
        <f t="shared" si="6"/>
        <v>0.032</v>
      </c>
      <c r="E31" s="39">
        <f t="shared" si="6"/>
        <v>0.032</v>
      </c>
      <c r="F31" s="40">
        <f t="shared" si="6"/>
        <v>0.1003333333</v>
      </c>
      <c r="G31" s="40">
        <f t="shared" si="6"/>
        <v>0.1003333333</v>
      </c>
      <c r="H31" s="41">
        <v>0.001</v>
      </c>
      <c r="I31" s="41">
        <v>0.001</v>
      </c>
      <c r="J31" s="42">
        <v>0.001</v>
      </c>
      <c r="K31" s="42">
        <v>0.001</v>
      </c>
      <c r="L31" s="43">
        <v>0.001</v>
      </c>
      <c r="M31" s="43">
        <v>0.001</v>
      </c>
      <c r="N31" s="44">
        <v>0.001</v>
      </c>
      <c r="O31" s="44">
        <v>0.001</v>
      </c>
      <c r="P31" s="45">
        <v>0.001</v>
      </c>
      <c r="Q31" s="45">
        <v>0.001</v>
      </c>
    </row>
    <row r="32" ht="15.75" customHeight="1">
      <c r="A32" s="12">
        <v>100000.0</v>
      </c>
      <c r="B32" s="53" t="s">
        <v>9</v>
      </c>
      <c r="C32" s="22" t="s">
        <v>10</v>
      </c>
      <c r="D32" s="23" t="s">
        <v>9</v>
      </c>
      <c r="E32" s="23" t="s">
        <v>10</v>
      </c>
      <c r="F32" s="24" t="s">
        <v>9</v>
      </c>
      <c r="G32" s="24" t="s">
        <v>10</v>
      </c>
      <c r="H32" s="25" t="s">
        <v>9</v>
      </c>
      <c r="I32" s="25" t="s">
        <v>10</v>
      </c>
      <c r="J32" s="26" t="s">
        <v>15</v>
      </c>
      <c r="K32" s="26" t="s">
        <v>16</v>
      </c>
      <c r="L32" s="27" t="s">
        <v>9</v>
      </c>
      <c r="M32" s="27" t="s">
        <v>10</v>
      </c>
      <c r="N32" s="28" t="s">
        <v>9</v>
      </c>
      <c r="O32" s="28" t="s">
        <v>10</v>
      </c>
      <c r="P32" s="29" t="s">
        <v>9</v>
      </c>
      <c r="Q32" s="29" t="s">
        <v>10</v>
      </c>
    </row>
    <row r="33" ht="15.75" customHeight="1">
      <c r="A33" s="1" t="s">
        <v>11</v>
      </c>
      <c r="B33" s="22">
        <v>2.094</v>
      </c>
      <c r="C33" s="22">
        <v>2.082</v>
      </c>
      <c r="D33" s="23">
        <v>3.22</v>
      </c>
      <c r="E33" s="23">
        <v>3.675</v>
      </c>
      <c r="F33" s="24">
        <v>3.942</v>
      </c>
      <c r="G33" s="24">
        <v>3.202</v>
      </c>
      <c r="H33" s="25">
        <v>0.015</v>
      </c>
      <c r="I33" s="25">
        <v>0.006</v>
      </c>
      <c r="J33" s="26">
        <v>0.015</v>
      </c>
      <c r="K33" s="26">
        <v>0.007</v>
      </c>
      <c r="L33" s="27">
        <v>0.024</v>
      </c>
      <c r="M33" s="27">
        <v>0.003</v>
      </c>
      <c r="N33" s="28">
        <v>0.024</v>
      </c>
      <c r="O33" s="28">
        <v>0.019</v>
      </c>
      <c r="P33" s="29">
        <v>0.019</v>
      </c>
      <c r="Q33" s="29">
        <v>0.013</v>
      </c>
    </row>
    <row r="34" ht="15.75" customHeight="1">
      <c r="A34" s="1" t="s">
        <v>12</v>
      </c>
      <c r="B34" s="22">
        <v>2.06</v>
      </c>
      <c r="C34" s="22">
        <v>2.057</v>
      </c>
      <c r="D34" s="23">
        <v>3.11</v>
      </c>
      <c r="E34" s="23">
        <v>4.788</v>
      </c>
      <c r="F34" s="24">
        <v>2.498</v>
      </c>
      <c r="G34" s="24">
        <v>3.758</v>
      </c>
      <c r="H34" s="25">
        <v>0.007</v>
      </c>
      <c r="I34" s="25">
        <v>0.006</v>
      </c>
      <c r="J34" s="26">
        <v>0.01</v>
      </c>
      <c r="K34" s="26">
        <v>0.008</v>
      </c>
      <c r="L34" s="27">
        <v>0.007</v>
      </c>
      <c r="M34" s="27">
        <v>0.004</v>
      </c>
      <c r="N34" s="28">
        <v>0.013</v>
      </c>
      <c r="O34" s="28">
        <v>0.019</v>
      </c>
      <c r="P34" s="29">
        <v>0.01</v>
      </c>
      <c r="Q34" s="29">
        <v>0.012</v>
      </c>
    </row>
    <row r="35" ht="15.75" customHeight="1">
      <c r="A35" s="1" t="s">
        <v>13</v>
      </c>
      <c r="B35" s="22">
        <v>2.078</v>
      </c>
      <c r="C35" s="22">
        <v>2.062</v>
      </c>
      <c r="D35" s="23">
        <v>3.126</v>
      </c>
      <c r="E35" s="23">
        <v>4.758</v>
      </c>
      <c r="F35" s="24">
        <v>2.549</v>
      </c>
      <c r="G35" s="24">
        <v>4.168</v>
      </c>
      <c r="H35" s="25">
        <v>0.007</v>
      </c>
      <c r="I35" s="25">
        <v>0.009</v>
      </c>
      <c r="J35" s="26">
        <v>0.01</v>
      </c>
      <c r="K35" s="26">
        <v>0.012</v>
      </c>
      <c r="L35" s="27">
        <v>0.007</v>
      </c>
      <c r="M35" s="27">
        <v>0.013</v>
      </c>
      <c r="N35" s="28">
        <v>0.014</v>
      </c>
      <c r="O35" s="28">
        <v>0.019</v>
      </c>
      <c r="P35" s="29">
        <v>0.009</v>
      </c>
      <c r="Q35" s="29">
        <v>0.014</v>
      </c>
    </row>
    <row r="36" ht="15.75" customHeight="1">
      <c r="A36" s="1" t="s">
        <v>14</v>
      </c>
      <c r="B36" s="22">
        <f t="shared" ref="B36:Q36" si="7">AVERAGE(B33:B35)</f>
        <v>2.077333333</v>
      </c>
      <c r="C36" s="22">
        <f t="shared" si="7"/>
        <v>2.067</v>
      </c>
      <c r="D36" s="23">
        <f t="shared" si="7"/>
        <v>3.152</v>
      </c>
      <c r="E36" s="23">
        <f t="shared" si="7"/>
        <v>4.407</v>
      </c>
      <c r="F36" s="24">
        <f t="shared" si="7"/>
        <v>2.996333333</v>
      </c>
      <c r="G36" s="55">
        <f t="shared" si="7"/>
        <v>3.709333333</v>
      </c>
      <c r="H36" s="32">
        <f t="shared" si="7"/>
        <v>0.009666666667</v>
      </c>
      <c r="I36" s="25">
        <f t="shared" si="7"/>
        <v>0.007</v>
      </c>
      <c r="J36" s="26">
        <f t="shared" si="7"/>
        <v>0.01166666667</v>
      </c>
      <c r="K36" s="26">
        <f t="shared" si="7"/>
        <v>0.009</v>
      </c>
      <c r="L36" s="27">
        <f t="shared" si="7"/>
        <v>0.01266666667</v>
      </c>
      <c r="M36" s="34">
        <f t="shared" si="7"/>
        <v>0.006666666667</v>
      </c>
      <c r="N36" s="28">
        <f t="shared" si="7"/>
        <v>0.017</v>
      </c>
      <c r="O36" s="28">
        <f t="shared" si="7"/>
        <v>0.019</v>
      </c>
      <c r="P36" s="29">
        <f t="shared" si="7"/>
        <v>0.01266666667</v>
      </c>
      <c r="Q36" s="29">
        <f t="shared" si="7"/>
        <v>0.013</v>
      </c>
    </row>
    <row r="37" ht="15.75" customHeight="1">
      <c r="A37" s="56">
        <v>1000000.0</v>
      </c>
      <c r="B37" s="37" t="s">
        <v>9</v>
      </c>
      <c r="C37" s="38" t="s">
        <v>10</v>
      </c>
      <c r="D37" s="39" t="s">
        <v>9</v>
      </c>
      <c r="E37" s="39" t="s">
        <v>10</v>
      </c>
      <c r="F37" s="40" t="s">
        <v>9</v>
      </c>
      <c r="G37" s="40" t="s">
        <v>10</v>
      </c>
      <c r="H37" s="41" t="s">
        <v>9</v>
      </c>
      <c r="I37" s="41" t="s">
        <v>10</v>
      </c>
      <c r="J37" s="42" t="s">
        <v>15</v>
      </c>
      <c r="K37" s="42" t="s">
        <v>16</v>
      </c>
      <c r="L37" s="43" t="s">
        <v>9</v>
      </c>
      <c r="M37" s="43" t="s">
        <v>10</v>
      </c>
      <c r="N37" s="44" t="s">
        <v>9</v>
      </c>
      <c r="O37" s="44" t="s">
        <v>10</v>
      </c>
      <c r="P37" s="45" t="s">
        <v>9</v>
      </c>
      <c r="Q37" s="45" t="s">
        <v>10</v>
      </c>
    </row>
    <row r="38" ht="15.75" customHeight="1">
      <c r="A38" s="1" t="s">
        <v>11</v>
      </c>
      <c r="B38" s="57">
        <v>454.467</v>
      </c>
      <c r="C38" s="57">
        <v>423.588</v>
      </c>
      <c r="D38" s="58">
        <v>985.989</v>
      </c>
      <c r="E38" s="58">
        <v>409.025</v>
      </c>
      <c r="F38" s="59">
        <v>716.035</v>
      </c>
      <c r="G38" s="59">
        <v>249.567</v>
      </c>
      <c r="H38" s="60">
        <v>0.176</v>
      </c>
      <c r="I38" s="60">
        <v>0.082</v>
      </c>
      <c r="J38" s="61">
        <v>0.26</v>
      </c>
      <c r="K38" s="61">
        <v>0.032</v>
      </c>
      <c r="L38" s="62">
        <v>0.306</v>
      </c>
      <c r="M38" s="62">
        <v>0.03</v>
      </c>
      <c r="N38" s="63">
        <v>0.456</v>
      </c>
      <c r="O38" s="63">
        <v>0.178</v>
      </c>
      <c r="P38" s="64">
        <v>0.24</v>
      </c>
      <c r="Q38" s="45">
        <v>0.1</v>
      </c>
    </row>
    <row r="39" ht="15.75" customHeight="1">
      <c r="A39" s="1" t="s">
        <v>12</v>
      </c>
      <c r="B39" s="57">
        <v>212.859</v>
      </c>
      <c r="C39" s="57">
        <v>204.568</v>
      </c>
      <c r="D39" s="58">
        <v>355.172</v>
      </c>
      <c r="E39" s="58">
        <v>322.324</v>
      </c>
      <c r="F39" s="59">
        <v>420.529</v>
      </c>
      <c r="G39" s="59">
        <v>279.074</v>
      </c>
      <c r="H39" s="60">
        <v>0.088</v>
      </c>
      <c r="I39" s="60">
        <v>0.083</v>
      </c>
      <c r="J39" s="61">
        <v>0.175</v>
      </c>
      <c r="K39" s="61">
        <v>0.031</v>
      </c>
      <c r="L39" s="62">
        <v>0.162</v>
      </c>
      <c r="M39" s="62">
        <v>0.032</v>
      </c>
      <c r="N39" s="63">
        <v>0.256</v>
      </c>
      <c r="O39" s="63">
        <v>0.171</v>
      </c>
      <c r="P39" s="64">
        <v>0.15</v>
      </c>
      <c r="Q39" s="45">
        <v>0.1</v>
      </c>
    </row>
    <row r="40" ht="15.75" customHeight="1">
      <c r="A40" s="1" t="s">
        <v>13</v>
      </c>
      <c r="B40" s="57">
        <v>288.719</v>
      </c>
      <c r="C40" s="57">
        <v>266.578</v>
      </c>
      <c r="D40" s="58">
        <v>727.388</v>
      </c>
      <c r="E40" s="58">
        <v>303.662</v>
      </c>
      <c r="F40" s="59">
        <v>560.25</v>
      </c>
      <c r="G40" s="59">
        <v>242.676</v>
      </c>
      <c r="H40" s="60">
        <v>0.118</v>
      </c>
      <c r="I40" s="60">
        <v>0.081</v>
      </c>
      <c r="J40" s="61">
        <v>0.189</v>
      </c>
      <c r="K40" s="61">
        <v>0.036</v>
      </c>
      <c r="L40" s="62">
        <v>0.188</v>
      </c>
      <c r="M40" s="62">
        <v>0.032</v>
      </c>
      <c r="N40" s="63">
        <v>0.298</v>
      </c>
      <c r="O40" s="63">
        <v>0.169</v>
      </c>
      <c r="P40" s="64">
        <v>0.163</v>
      </c>
      <c r="Q40" s="45">
        <v>0.1</v>
      </c>
    </row>
    <row r="41" ht="15.75" customHeight="1">
      <c r="A41" s="1" t="s">
        <v>14</v>
      </c>
      <c r="B41" s="57">
        <f t="shared" ref="B41:Q41" si="8">AVERAGE(B38:B40)</f>
        <v>318.6816667</v>
      </c>
      <c r="C41" s="57">
        <f t="shared" si="8"/>
        <v>298.2446667</v>
      </c>
      <c r="D41" s="58">
        <f t="shared" si="8"/>
        <v>689.5163333</v>
      </c>
      <c r="E41" s="58">
        <f t="shared" si="8"/>
        <v>345.0036667</v>
      </c>
      <c r="F41" s="59">
        <f t="shared" si="8"/>
        <v>565.6046667</v>
      </c>
      <c r="G41" s="59">
        <f t="shared" si="8"/>
        <v>257.1056667</v>
      </c>
      <c r="H41" s="60">
        <f t="shared" si="8"/>
        <v>0.1273333333</v>
      </c>
      <c r="I41" s="60">
        <f t="shared" si="8"/>
        <v>0.082</v>
      </c>
      <c r="J41" s="61">
        <f t="shared" si="8"/>
        <v>0.208</v>
      </c>
      <c r="K41" s="61">
        <f t="shared" si="8"/>
        <v>0.033</v>
      </c>
      <c r="L41" s="62">
        <f t="shared" si="8"/>
        <v>0.2186666667</v>
      </c>
      <c r="M41" s="62">
        <f t="shared" si="8"/>
        <v>0.03133333333</v>
      </c>
      <c r="N41" s="63">
        <f t="shared" si="8"/>
        <v>0.3366666667</v>
      </c>
      <c r="O41" s="63">
        <f t="shared" si="8"/>
        <v>0.1726666667</v>
      </c>
      <c r="P41" s="64">
        <f t="shared" si="8"/>
        <v>0.1843333333</v>
      </c>
      <c r="Q41" s="45">
        <f t="shared" si="8"/>
        <v>0.1</v>
      </c>
    </row>
    <row r="42" ht="15.75" customHeight="1">
      <c r="A42" s="12">
        <v>1.0E7</v>
      </c>
      <c r="B42" s="65"/>
      <c r="C42" s="65"/>
      <c r="E42" s="65"/>
      <c r="F42" s="65"/>
      <c r="H42" s="25" t="s">
        <v>9</v>
      </c>
      <c r="I42" s="25" t="s">
        <v>10</v>
      </c>
      <c r="J42" s="26" t="s">
        <v>15</v>
      </c>
      <c r="K42" s="26" t="s">
        <v>16</v>
      </c>
      <c r="L42" s="27" t="s">
        <v>9</v>
      </c>
      <c r="M42" s="27" t="s">
        <v>10</v>
      </c>
      <c r="N42" s="28" t="s">
        <v>9</v>
      </c>
      <c r="O42" s="28" t="s">
        <v>10</v>
      </c>
      <c r="P42" s="29" t="s">
        <v>9</v>
      </c>
      <c r="Q42" s="29" t="s">
        <v>10</v>
      </c>
    </row>
    <row r="43" ht="15.75" customHeight="1">
      <c r="A43" s="1" t="s">
        <v>11</v>
      </c>
      <c r="H43" s="25">
        <v>1.02</v>
      </c>
      <c r="I43" s="25">
        <v>3.018</v>
      </c>
      <c r="J43" s="26">
        <v>1.132</v>
      </c>
      <c r="K43" s="26">
        <v>0.553</v>
      </c>
      <c r="L43" s="27">
        <v>1.784</v>
      </c>
      <c r="M43" s="27">
        <v>1.027</v>
      </c>
      <c r="N43" s="28">
        <v>4.828</v>
      </c>
      <c r="O43" s="28">
        <v>3.291</v>
      </c>
      <c r="P43" s="29">
        <v>2.155</v>
      </c>
      <c r="Q43" s="29">
        <v>1.965</v>
      </c>
    </row>
    <row r="44" ht="15.75" customHeight="1">
      <c r="A44" s="1" t="s">
        <v>12</v>
      </c>
      <c r="H44" s="25">
        <v>1.403</v>
      </c>
      <c r="I44" s="25">
        <v>3.132</v>
      </c>
      <c r="J44" s="26">
        <v>2.41</v>
      </c>
      <c r="K44" s="26">
        <v>0.585</v>
      </c>
      <c r="L44" s="27">
        <v>2.022</v>
      </c>
      <c r="M44" s="27">
        <v>0.386</v>
      </c>
      <c r="N44" s="28">
        <v>4.691</v>
      </c>
      <c r="O44" s="28">
        <v>2.401</v>
      </c>
      <c r="P44" s="29">
        <v>2.273</v>
      </c>
      <c r="Q44" s="29">
        <v>1.146</v>
      </c>
    </row>
    <row r="45" ht="15.75" customHeight="1">
      <c r="A45" s="1" t="s">
        <v>13</v>
      </c>
      <c r="H45" s="25">
        <v>1.007</v>
      </c>
      <c r="I45" s="25">
        <v>2.792</v>
      </c>
      <c r="J45" s="26">
        <v>2.313</v>
      </c>
      <c r="K45" s="26">
        <v>0.55</v>
      </c>
      <c r="L45" s="27">
        <v>0.822</v>
      </c>
      <c r="M45" s="27">
        <v>0.721</v>
      </c>
      <c r="N45" s="28">
        <v>3.988</v>
      </c>
      <c r="O45" s="28">
        <v>3.916</v>
      </c>
      <c r="P45" s="29">
        <v>2.204</v>
      </c>
      <c r="Q45" s="29">
        <v>1.766</v>
      </c>
    </row>
    <row r="46" ht="15.75" customHeight="1">
      <c r="A46" s="1" t="s">
        <v>14</v>
      </c>
      <c r="H46" s="66">
        <f t="shared" ref="H46:Q46" si="9">AVERAGE(H43:H45)</f>
        <v>1.143333333</v>
      </c>
      <c r="I46" s="25">
        <f t="shared" si="9"/>
        <v>2.980666667</v>
      </c>
      <c r="J46" s="26">
        <f t="shared" si="9"/>
        <v>1.951666667</v>
      </c>
      <c r="K46" s="26">
        <f t="shared" si="9"/>
        <v>0.5626666667</v>
      </c>
      <c r="L46" s="27">
        <f t="shared" si="9"/>
        <v>1.542666667</v>
      </c>
      <c r="M46" s="27">
        <f t="shared" si="9"/>
        <v>0.7113333333</v>
      </c>
      <c r="N46" s="28">
        <f t="shared" si="9"/>
        <v>4.502333333</v>
      </c>
      <c r="O46" s="28">
        <f t="shared" si="9"/>
        <v>3.202666667</v>
      </c>
      <c r="P46" s="29">
        <f t="shared" si="9"/>
        <v>2.210666667</v>
      </c>
      <c r="Q46" s="29">
        <f t="shared" si="9"/>
        <v>1.625666667</v>
      </c>
    </row>
    <row r="47" ht="15.75" customHeight="1">
      <c r="A47" s="12">
        <v>1.0E8</v>
      </c>
      <c r="B47" s="65"/>
      <c r="C47" s="65"/>
      <c r="E47" s="65"/>
      <c r="F47" s="65"/>
      <c r="H47" s="41" t="s">
        <v>9</v>
      </c>
      <c r="I47" s="41" t="s">
        <v>10</v>
      </c>
      <c r="J47" s="42" t="s">
        <v>15</v>
      </c>
      <c r="K47" s="42" t="s">
        <v>16</v>
      </c>
      <c r="L47" s="43" t="s">
        <v>9</v>
      </c>
      <c r="M47" s="43" t="s">
        <v>10</v>
      </c>
      <c r="N47" s="44" t="s">
        <v>9</v>
      </c>
      <c r="O47" s="44" t="s">
        <v>10</v>
      </c>
      <c r="P47" s="45" t="s">
        <v>9</v>
      </c>
      <c r="Q47" s="45" t="s">
        <v>10</v>
      </c>
    </row>
    <row r="48" ht="15.75" customHeight="1">
      <c r="A48" s="1" t="s">
        <v>11</v>
      </c>
      <c r="H48" s="41">
        <v>16.479</v>
      </c>
      <c r="I48" s="67">
        <v>176.722</v>
      </c>
      <c r="J48" s="42">
        <v>29.727</v>
      </c>
      <c r="K48" s="42">
        <v>3.03</v>
      </c>
      <c r="L48" s="43">
        <v>19.084</v>
      </c>
      <c r="M48" s="43">
        <v>3.251</v>
      </c>
      <c r="N48" s="44">
        <v>74.926</v>
      </c>
      <c r="O48" s="68">
        <v>62.819</v>
      </c>
      <c r="P48" s="45">
        <v>20.898</v>
      </c>
      <c r="Q48" s="45">
        <v>20.178</v>
      </c>
    </row>
    <row r="49" ht="15.75" customHeight="1">
      <c r="A49" s="1" t="s">
        <v>12</v>
      </c>
      <c r="H49" s="41">
        <v>16.439</v>
      </c>
      <c r="I49" s="41">
        <v>178.551</v>
      </c>
      <c r="J49" s="42">
        <v>29.44</v>
      </c>
      <c r="K49" s="42">
        <v>4.275</v>
      </c>
      <c r="L49" s="43">
        <v>18.824</v>
      </c>
      <c r="M49" s="43">
        <v>6.989</v>
      </c>
      <c r="N49" s="44">
        <v>68.433</v>
      </c>
      <c r="O49" s="44">
        <v>38.602</v>
      </c>
      <c r="P49" s="45">
        <v>15.465</v>
      </c>
      <c r="Q49" s="45">
        <v>11.658</v>
      </c>
    </row>
    <row r="50" ht="15.75" customHeight="1">
      <c r="A50" s="1" t="s">
        <v>13</v>
      </c>
      <c r="H50" s="41">
        <v>16.142</v>
      </c>
      <c r="I50" s="41">
        <v>199.815</v>
      </c>
      <c r="J50" s="42">
        <v>30.265</v>
      </c>
      <c r="K50" s="42">
        <v>5.945</v>
      </c>
      <c r="L50" s="43">
        <v>19.907</v>
      </c>
      <c r="M50" s="43">
        <v>7.406</v>
      </c>
      <c r="N50" s="44">
        <v>58.996</v>
      </c>
      <c r="O50" s="44">
        <v>55.581</v>
      </c>
      <c r="P50" s="45">
        <v>24.764</v>
      </c>
      <c r="Q50" s="45">
        <v>20.425</v>
      </c>
    </row>
    <row r="51" ht="15.75" customHeight="1">
      <c r="A51" s="1" t="s">
        <v>14</v>
      </c>
      <c r="H51" s="41">
        <f t="shared" ref="H51:Q51" si="10">AVERAGE(H48:H50)</f>
        <v>16.35333333</v>
      </c>
      <c r="I51" s="69">
        <f t="shared" si="10"/>
        <v>185.0293333</v>
      </c>
      <c r="J51" s="42">
        <f t="shared" si="10"/>
        <v>29.81066667</v>
      </c>
      <c r="K51" s="42">
        <f t="shared" si="10"/>
        <v>4.416666667</v>
      </c>
      <c r="L51" s="43">
        <f t="shared" si="10"/>
        <v>19.27166667</v>
      </c>
      <c r="M51" s="70">
        <f t="shared" si="10"/>
        <v>5.882</v>
      </c>
      <c r="N51" s="44">
        <f t="shared" si="10"/>
        <v>67.45166667</v>
      </c>
      <c r="O51" s="63">
        <f t="shared" si="10"/>
        <v>52.334</v>
      </c>
      <c r="P51" s="45">
        <f t="shared" si="10"/>
        <v>20.37566667</v>
      </c>
      <c r="Q51" s="45">
        <f t="shared" si="10"/>
        <v>17.42033333</v>
      </c>
    </row>
    <row r="52" ht="15.75" customHeight="1"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</row>
    <row r="53" ht="15.75" customHeight="1"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</row>
    <row r="54" ht="15.75" customHeight="1"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</row>
    <row r="55" ht="15.75" customHeight="1"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</row>
    <row r="56" ht="15.75" customHeight="1"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</row>
    <row r="57" ht="15.75" customHeight="1"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</row>
    <row r="58" ht="15.75" customHeight="1"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</row>
    <row r="59" ht="15.75" customHeight="1"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</row>
    <row r="60" ht="15.75" customHeight="1"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</row>
    <row r="61" ht="15.75" customHeight="1"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</row>
    <row r="62" ht="15.75" customHeight="1"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</row>
    <row r="63" ht="15.75" customHeight="1"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</row>
    <row r="64" ht="15.75" customHeight="1"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</row>
    <row r="65" ht="15.75" customHeight="1"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</row>
    <row r="66" ht="15.75" customHeight="1"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</row>
    <row r="67" ht="15.75" customHeight="1"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</row>
    <row r="68" ht="15.75" customHeight="1"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</row>
    <row r="75" ht="15.75" customHeight="1"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</row>
    <row r="76" ht="15.75" customHeight="1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</row>
    <row r="77" ht="15.75" customHeight="1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</row>
    <row r="78" ht="15.75" customHeight="1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</row>
    <row r="79" ht="15.75" customHeight="1"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</row>
    <row r="80" ht="15.75" customHeight="1"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</row>
    <row r="81" ht="15.75" customHeight="1"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</row>
    <row r="82" ht="15.75" customHeight="1"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</row>
    <row r="83" ht="15.75" customHeight="1"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</row>
    <row r="84" ht="15.75" customHeight="1"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</row>
    <row r="85" ht="15.75" customHeight="1"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</row>
    <row r="86" ht="15.75" customHeight="1"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75"/>
    <col customWidth="1" min="2" max="6" width="12.63"/>
  </cols>
  <sheetData>
    <row r="1" ht="15.75" customHeight="1">
      <c r="A1" s="1" t="s">
        <v>17</v>
      </c>
      <c r="B1" s="72" t="s">
        <v>1</v>
      </c>
      <c r="C1" s="73" t="s">
        <v>2</v>
      </c>
      <c r="D1" s="74" t="s">
        <v>3</v>
      </c>
      <c r="E1" s="75" t="s">
        <v>4</v>
      </c>
      <c r="F1" s="76" t="s">
        <v>5</v>
      </c>
      <c r="G1" s="77" t="s">
        <v>6</v>
      </c>
      <c r="H1" s="78" t="s">
        <v>7</v>
      </c>
      <c r="I1" s="79" t="s">
        <v>8</v>
      </c>
    </row>
    <row r="2" ht="15.75" customHeight="1">
      <c r="A2" s="12">
        <v>10.0</v>
      </c>
    </row>
    <row r="3" ht="15.75" customHeight="1">
      <c r="A3" s="1" t="s">
        <v>18</v>
      </c>
      <c r="B3" s="80">
        <v>0.001</v>
      </c>
      <c r="C3" s="81">
        <v>0.001</v>
      </c>
      <c r="D3" s="82">
        <v>0.001</v>
      </c>
      <c r="E3" s="83">
        <v>0.001</v>
      </c>
      <c r="F3" s="84">
        <v>0.001</v>
      </c>
      <c r="G3" s="85">
        <v>0.001</v>
      </c>
      <c r="H3" s="86">
        <v>0.001</v>
      </c>
      <c r="I3" s="87">
        <v>0.001</v>
      </c>
    </row>
    <row r="4" ht="15.75" customHeight="1">
      <c r="A4" s="1" t="s">
        <v>19</v>
      </c>
      <c r="B4" s="80">
        <v>0.013</v>
      </c>
      <c r="C4" s="81">
        <v>0.001</v>
      </c>
      <c r="D4" s="82">
        <v>0.002</v>
      </c>
      <c r="E4" s="83">
        <v>0.001</v>
      </c>
      <c r="F4" s="84">
        <v>0.002</v>
      </c>
      <c r="G4" s="85">
        <v>0.001</v>
      </c>
      <c r="H4" s="86">
        <v>0.001</v>
      </c>
      <c r="I4" s="87">
        <v>0.001</v>
      </c>
    </row>
    <row r="5" ht="15.75" customHeight="1">
      <c r="A5" s="1" t="s">
        <v>20</v>
      </c>
      <c r="B5" s="80">
        <v>0.023</v>
      </c>
      <c r="C5" s="81">
        <v>0.003</v>
      </c>
      <c r="D5" s="82">
        <v>0.003</v>
      </c>
      <c r="E5" s="83">
        <v>0.005</v>
      </c>
      <c r="F5" s="84">
        <v>0.005</v>
      </c>
      <c r="G5" s="85">
        <v>0.003</v>
      </c>
      <c r="H5" s="86">
        <v>0.002</v>
      </c>
      <c r="I5" s="87">
        <v>0.002</v>
      </c>
    </row>
    <row r="6" ht="15.75" customHeight="1">
      <c r="A6" s="1" t="s">
        <v>21</v>
      </c>
      <c r="B6" s="80">
        <v>0.214</v>
      </c>
      <c r="C6" s="81">
        <v>0.015</v>
      </c>
      <c r="D6" s="82">
        <v>0.019</v>
      </c>
      <c r="E6" s="83">
        <v>0.013</v>
      </c>
      <c r="F6" s="84">
        <v>0.013</v>
      </c>
      <c r="G6" s="85">
        <v>0.011</v>
      </c>
      <c r="H6" s="86">
        <v>0.011</v>
      </c>
      <c r="I6" s="87">
        <v>0.011</v>
      </c>
    </row>
    <row r="7" ht="15.75" customHeight="1">
      <c r="A7" s="12">
        <v>20.0</v>
      </c>
      <c r="B7" s="88"/>
      <c r="C7" s="88"/>
      <c r="D7" s="88"/>
      <c r="E7" s="88"/>
      <c r="F7" s="88"/>
      <c r="G7" s="88"/>
      <c r="H7" s="88"/>
      <c r="I7" s="88"/>
    </row>
    <row r="8" ht="15.75" customHeight="1">
      <c r="A8" s="1" t="s">
        <v>18</v>
      </c>
      <c r="B8" s="57">
        <v>0.022</v>
      </c>
      <c r="C8" s="58">
        <v>0.002</v>
      </c>
      <c r="D8" s="59">
        <v>0.002</v>
      </c>
      <c r="E8" s="60">
        <v>0.003</v>
      </c>
      <c r="F8" s="61">
        <v>0.002</v>
      </c>
      <c r="G8" s="62">
        <v>0.003</v>
      </c>
      <c r="H8" s="63">
        <v>0.002</v>
      </c>
      <c r="I8" s="64">
        <v>0.002</v>
      </c>
    </row>
    <row r="9" ht="15.75" customHeight="1">
      <c r="A9" s="1" t="s">
        <v>19</v>
      </c>
      <c r="B9" s="57">
        <v>0.028</v>
      </c>
      <c r="C9" s="58">
        <v>0.004</v>
      </c>
      <c r="D9" s="59">
        <v>0.004</v>
      </c>
      <c r="E9" s="60">
        <v>0.004</v>
      </c>
      <c r="F9" s="61">
        <v>0.003</v>
      </c>
      <c r="G9" s="62">
        <v>0.003</v>
      </c>
      <c r="H9" s="63">
        <v>0.004</v>
      </c>
      <c r="I9" s="64">
        <v>0.003</v>
      </c>
    </row>
    <row r="10" ht="15.75" customHeight="1">
      <c r="A10" s="1" t="s">
        <v>20</v>
      </c>
      <c r="B10" s="57">
        <v>0.032</v>
      </c>
      <c r="C10" s="58">
        <v>0.004</v>
      </c>
      <c r="D10" s="59">
        <v>0.007</v>
      </c>
      <c r="E10" s="60">
        <v>0.004</v>
      </c>
      <c r="F10" s="61">
        <v>0.004</v>
      </c>
      <c r="G10" s="62">
        <v>0.005</v>
      </c>
      <c r="H10" s="63">
        <v>0.004</v>
      </c>
      <c r="I10" s="64">
        <v>0.004</v>
      </c>
    </row>
    <row r="11" ht="15.75" customHeight="1">
      <c r="A11" s="1" t="s">
        <v>21</v>
      </c>
      <c r="B11" s="57">
        <v>0.146</v>
      </c>
      <c r="C11" s="58">
        <v>0.031</v>
      </c>
      <c r="D11" s="59">
        <v>0.036</v>
      </c>
      <c r="E11" s="60">
        <v>0.031</v>
      </c>
      <c r="F11" s="61">
        <v>0.023</v>
      </c>
      <c r="G11" s="62">
        <v>0.02</v>
      </c>
      <c r="H11" s="63">
        <v>0.021</v>
      </c>
      <c r="I11" s="64">
        <v>0.022</v>
      </c>
    </row>
    <row r="12" ht="15.75" customHeight="1">
      <c r="A12" s="12">
        <v>50.0</v>
      </c>
      <c r="B12" s="88"/>
      <c r="C12" s="88"/>
      <c r="D12" s="88"/>
      <c r="E12" s="88"/>
      <c r="F12" s="88"/>
      <c r="G12" s="88"/>
      <c r="H12" s="88"/>
      <c r="I12" s="88"/>
    </row>
    <row r="13" ht="15.75" customHeight="1">
      <c r="A13" s="1" t="s">
        <v>18</v>
      </c>
      <c r="B13" s="80">
        <v>0.022</v>
      </c>
      <c r="C13" s="81">
        <v>0.011</v>
      </c>
      <c r="D13" s="82">
        <v>0.012</v>
      </c>
      <c r="E13" s="83">
        <v>0.009</v>
      </c>
      <c r="F13" s="84">
        <v>0.009</v>
      </c>
      <c r="G13" s="85">
        <v>0.008</v>
      </c>
      <c r="H13" s="86">
        <v>0.008</v>
      </c>
      <c r="I13" s="87">
        <v>0.009</v>
      </c>
    </row>
    <row r="14" ht="15.75" customHeight="1">
      <c r="A14" s="1" t="s">
        <v>19</v>
      </c>
      <c r="B14" s="80">
        <v>0.048</v>
      </c>
      <c r="C14" s="81">
        <v>0.012</v>
      </c>
      <c r="D14" s="82">
        <v>0.01</v>
      </c>
      <c r="E14" s="83">
        <v>0.008</v>
      </c>
      <c r="F14" s="84">
        <v>0.007</v>
      </c>
      <c r="G14" s="85">
        <v>0.007</v>
      </c>
      <c r="H14" s="86">
        <v>0.006</v>
      </c>
      <c r="I14" s="87">
        <v>0.006</v>
      </c>
    </row>
    <row r="15" ht="15.75" customHeight="1">
      <c r="A15" s="1" t="s">
        <v>20</v>
      </c>
      <c r="B15" s="80">
        <v>0.022</v>
      </c>
      <c r="C15" s="81">
        <v>0.011</v>
      </c>
      <c r="D15" s="82">
        <v>0.008</v>
      </c>
      <c r="E15" s="83">
        <v>0.011</v>
      </c>
      <c r="F15" s="84">
        <v>0.011</v>
      </c>
      <c r="G15" s="85">
        <v>0.09</v>
      </c>
      <c r="H15" s="86">
        <v>0.01</v>
      </c>
      <c r="I15" s="87">
        <v>0.008</v>
      </c>
    </row>
    <row r="16" ht="15.75" customHeight="1">
      <c r="A16" s="1" t="s">
        <v>21</v>
      </c>
      <c r="B16" s="80">
        <v>0.128</v>
      </c>
      <c r="C16" s="81">
        <v>0.068</v>
      </c>
      <c r="D16" s="82">
        <v>0.063</v>
      </c>
      <c r="E16" s="83">
        <v>0.05</v>
      </c>
      <c r="F16" s="84">
        <v>0.054</v>
      </c>
      <c r="G16" s="85">
        <v>0.052</v>
      </c>
      <c r="H16" s="86">
        <v>0.051</v>
      </c>
      <c r="I16" s="87">
        <v>0.05</v>
      </c>
    </row>
    <row r="17" ht="15.75" customHeight="1">
      <c r="A17" s="12">
        <v>100.0</v>
      </c>
      <c r="B17" s="88"/>
      <c r="C17" s="88"/>
      <c r="D17" s="88"/>
      <c r="E17" s="88"/>
      <c r="F17" s="88"/>
      <c r="G17" s="88"/>
      <c r="H17" s="88"/>
      <c r="I17" s="88"/>
    </row>
    <row r="18" ht="15.75" customHeight="1">
      <c r="A18" s="1" t="s">
        <v>18</v>
      </c>
      <c r="B18" s="57">
        <v>0.035</v>
      </c>
      <c r="C18" s="58">
        <v>0.027</v>
      </c>
      <c r="D18" s="59">
        <v>0.015</v>
      </c>
      <c r="E18" s="60">
        <v>0.016</v>
      </c>
      <c r="F18" s="61">
        <v>0.015</v>
      </c>
      <c r="G18" s="62">
        <v>0.019</v>
      </c>
      <c r="H18" s="63">
        <v>0.016</v>
      </c>
      <c r="I18" s="64">
        <v>0.016</v>
      </c>
    </row>
    <row r="19" ht="15.75" customHeight="1">
      <c r="A19" s="1" t="s">
        <v>19</v>
      </c>
      <c r="B19" s="57">
        <v>0.124</v>
      </c>
      <c r="C19" s="58">
        <v>0.014</v>
      </c>
      <c r="D19" s="59">
        <v>0.014</v>
      </c>
      <c r="E19" s="60">
        <v>0.016</v>
      </c>
      <c r="F19" s="61">
        <v>0.015</v>
      </c>
      <c r="G19" s="62">
        <v>0.014</v>
      </c>
      <c r="H19" s="63">
        <v>0.013</v>
      </c>
      <c r="I19" s="64">
        <v>0.013</v>
      </c>
    </row>
    <row r="20" ht="15.75" customHeight="1">
      <c r="A20" s="1" t="s">
        <v>20</v>
      </c>
      <c r="B20" s="57">
        <v>0.084</v>
      </c>
      <c r="C20" s="58">
        <v>0.02</v>
      </c>
      <c r="D20" s="59">
        <v>0.017</v>
      </c>
      <c r="E20" s="60">
        <v>0.018</v>
      </c>
      <c r="F20" s="61">
        <v>0.019</v>
      </c>
      <c r="G20" s="62">
        <v>0.019</v>
      </c>
      <c r="H20" s="63">
        <v>0.02</v>
      </c>
      <c r="I20" s="64">
        <v>0.018</v>
      </c>
    </row>
    <row r="21" ht="15.75" customHeight="1">
      <c r="A21" s="1" t="s">
        <v>21</v>
      </c>
      <c r="B21" s="57">
        <v>0.27</v>
      </c>
      <c r="C21" s="58">
        <v>0.13</v>
      </c>
      <c r="D21" s="59">
        <v>0.12</v>
      </c>
      <c r="E21" s="60">
        <v>0.126</v>
      </c>
      <c r="F21" s="61">
        <v>0.108</v>
      </c>
      <c r="G21" s="62">
        <v>0.096</v>
      </c>
      <c r="H21" s="63">
        <v>0.102</v>
      </c>
      <c r="I21" s="64">
        <v>0.096</v>
      </c>
    </row>
    <row r="22" ht="15.75" customHeight="1">
      <c r="A22" s="12">
        <v>1000.0</v>
      </c>
      <c r="B22" s="88"/>
      <c r="C22" s="88"/>
      <c r="D22" s="88"/>
      <c r="E22" s="88"/>
      <c r="F22" s="88"/>
      <c r="G22" s="88"/>
      <c r="H22" s="88"/>
      <c r="I22" s="88"/>
    </row>
    <row r="23" ht="15.75" customHeight="1">
      <c r="A23" s="1" t="s">
        <v>18</v>
      </c>
      <c r="B23" s="57">
        <v>0.23</v>
      </c>
      <c r="C23" s="58">
        <v>0.404</v>
      </c>
      <c r="D23" s="59">
        <v>0.25</v>
      </c>
      <c r="E23" s="60">
        <v>0.199</v>
      </c>
      <c r="F23" s="61">
        <v>0.186</v>
      </c>
      <c r="G23" s="62">
        <v>0.189</v>
      </c>
      <c r="H23" s="63">
        <v>0.181</v>
      </c>
      <c r="I23" s="64">
        <v>0.173</v>
      </c>
    </row>
    <row r="24" ht="15.75" customHeight="1">
      <c r="A24" s="1" t="s">
        <v>19</v>
      </c>
      <c r="B24" s="57">
        <v>0.877</v>
      </c>
      <c r="C24" s="58">
        <v>0.742</v>
      </c>
      <c r="D24" s="59">
        <v>0.275</v>
      </c>
      <c r="E24" s="60">
        <v>0.166</v>
      </c>
      <c r="F24" s="61">
        <v>0.2</v>
      </c>
      <c r="G24" s="62">
        <v>0.155</v>
      </c>
      <c r="H24" s="63">
        <v>0.172</v>
      </c>
      <c r="I24" s="64">
        <v>0.179</v>
      </c>
    </row>
    <row r="25" ht="15.75" customHeight="1">
      <c r="A25" s="1" t="s">
        <v>20</v>
      </c>
      <c r="B25" s="57">
        <v>1.076</v>
      </c>
      <c r="C25" s="58">
        <v>0.744</v>
      </c>
      <c r="D25" s="59">
        <v>0.264</v>
      </c>
      <c r="E25" s="60">
        <v>0.226</v>
      </c>
      <c r="F25" s="61">
        <v>0.202</v>
      </c>
      <c r="G25" s="62">
        <v>0.227</v>
      </c>
      <c r="H25" s="63">
        <v>0.206</v>
      </c>
      <c r="I25" s="64">
        <v>0.21</v>
      </c>
    </row>
    <row r="26" ht="15.75" customHeight="1">
      <c r="A26" s="1" t="s">
        <v>21</v>
      </c>
      <c r="B26" s="57">
        <v>1.752</v>
      </c>
      <c r="C26" s="58">
        <v>1.346</v>
      </c>
      <c r="D26" s="89">
        <v>1.81</v>
      </c>
      <c r="E26" s="90">
        <v>1.99</v>
      </c>
      <c r="F26" s="61">
        <v>1.886</v>
      </c>
      <c r="G26" s="62">
        <v>1.886</v>
      </c>
      <c r="H26" s="63">
        <v>1.991</v>
      </c>
      <c r="I26" s="64">
        <v>1.841</v>
      </c>
    </row>
    <row r="27" ht="15.75" customHeight="1">
      <c r="A27" s="12">
        <v>10000.0</v>
      </c>
      <c r="B27" s="88"/>
      <c r="C27" s="88"/>
      <c r="D27" s="88"/>
      <c r="E27" s="88"/>
      <c r="F27" s="88"/>
      <c r="G27" s="88"/>
      <c r="H27" s="88"/>
      <c r="I27" s="88"/>
    </row>
    <row r="28" ht="15.75" customHeight="1">
      <c r="A28" s="1" t="s">
        <v>18</v>
      </c>
      <c r="B28" s="57">
        <v>6.452</v>
      </c>
      <c r="C28" s="58">
        <v>5.999</v>
      </c>
      <c r="D28" s="59">
        <v>5.567</v>
      </c>
      <c r="E28" s="60">
        <v>5.269</v>
      </c>
      <c r="F28" s="91">
        <v>5.89</v>
      </c>
      <c r="G28" s="62">
        <v>5.662</v>
      </c>
      <c r="H28" s="63">
        <v>5.103</v>
      </c>
      <c r="I28" s="64">
        <v>5.545</v>
      </c>
    </row>
    <row r="29" ht="15.75" customHeight="1">
      <c r="A29" s="1" t="s">
        <v>19</v>
      </c>
      <c r="B29" s="57">
        <v>8.634</v>
      </c>
      <c r="C29" s="58">
        <v>7.934</v>
      </c>
      <c r="D29" s="59">
        <v>8.639</v>
      </c>
      <c r="E29" s="60">
        <v>8.042</v>
      </c>
      <c r="F29" s="61">
        <v>8.184</v>
      </c>
      <c r="G29" s="62">
        <v>8.614</v>
      </c>
      <c r="H29" s="63">
        <v>7.481</v>
      </c>
      <c r="I29" s="64">
        <v>7.725</v>
      </c>
    </row>
    <row r="30" ht="15.75" customHeight="1">
      <c r="A30" s="1" t="s">
        <v>20</v>
      </c>
      <c r="B30" s="57">
        <v>10.96</v>
      </c>
      <c r="C30" s="58">
        <v>9.955</v>
      </c>
      <c r="D30" s="59">
        <v>10.315</v>
      </c>
      <c r="E30" s="60">
        <v>9.822</v>
      </c>
      <c r="F30" s="61">
        <v>9.65</v>
      </c>
      <c r="G30" s="62">
        <v>9.247</v>
      </c>
      <c r="H30" s="63">
        <v>9.434</v>
      </c>
      <c r="I30" s="64">
        <v>9.821</v>
      </c>
    </row>
    <row r="31" ht="15.75" customHeight="1">
      <c r="A31" s="1" t="s">
        <v>21</v>
      </c>
      <c r="B31" s="57">
        <v>20.143</v>
      </c>
      <c r="C31" s="58">
        <v>20.565</v>
      </c>
      <c r="D31" s="59">
        <v>19.506</v>
      </c>
      <c r="E31" s="60">
        <v>17.705</v>
      </c>
      <c r="F31" s="61">
        <v>17.565</v>
      </c>
      <c r="G31" s="62">
        <v>17.798</v>
      </c>
      <c r="H31" s="63">
        <v>17.509</v>
      </c>
      <c r="I31" s="64">
        <v>17.762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6" width="12.63"/>
  </cols>
  <sheetData>
    <row r="1" ht="15.75" customHeight="1">
      <c r="A1" s="92" t="s">
        <v>22</v>
      </c>
      <c r="B1" s="93" t="s">
        <v>1</v>
      </c>
      <c r="C1" s="73" t="s">
        <v>2</v>
      </c>
      <c r="D1" s="74" t="s">
        <v>3</v>
      </c>
      <c r="E1" s="75" t="s">
        <v>4</v>
      </c>
      <c r="F1" s="76" t="s">
        <v>5</v>
      </c>
      <c r="G1" s="77" t="s">
        <v>6</v>
      </c>
      <c r="H1" s="78" t="s">
        <v>7</v>
      </c>
      <c r="I1" s="79" t="s">
        <v>8</v>
      </c>
    </row>
    <row r="2" ht="15.75" customHeight="1">
      <c r="A2" s="1">
        <v>10.0</v>
      </c>
      <c r="B2" s="94">
        <v>3.0E-7</v>
      </c>
      <c r="C2" s="95">
        <v>3.0E-7</v>
      </c>
      <c r="D2" s="96">
        <v>3.0E-7</v>
      </c>
      <c r="E2" s="97">
        <v>1.0E-6</v>
      </c>
      <c r="F2" s="98">
        <v>1.09E-6</v>
      </c>
      <c r="G2" s="99">
        <v>5.9E-6</v>
      </c>
      <c r="H2" s="100">
        <v>1.0E-6</v>
      </c>
      <c r="I2" s="101">
        <v>2.0E-7</v>
      </c>
    </row>
    <row r="3" ht="15.75" customHeight="1">
      <c r="A3" s="1">
        <v>20.0</v>
      </c>
      <c r="B3" s="94">
        <v>3.0E-7</v>
      </c>
      <c r="C3" s="95">
        <v>6.0E-7</v>
      </c>
      <c r="D3" s="96">
        <v>5.0E-7</v>
      </c>
      <c r="E3" s="97">
        <v>1.0E-6</v>
      </c>
      <c r="F3" s="102">
        <v>8.8E-6</v>
      </c>
      <c r="G3" s="99">
        <v>9.8E-6</v>
      </c>
      <c r="H3" s="103">
        <v>1.4E-6</v>
      </c>
      <c r="I3" s="101">
        <v>3.0E-7</v>
      </c>
    </row>
    <row r="4" ht="15.75" customHeight="1">
      <c r="A4" s="1">
        <v>50.0</v>
      </c>
      <c r="B4" s="94">
        <v>3.0E-7</v>
      </c>
      <c r="C4" s="95">
        <v>2.7E-6</v>
      </c>
      <c r="D4" s="96">
        <v>1.9E-6</v>
      </c>
      <c r="E4" s="104">
        <v>2.1E-6</v>
      </c>
      <c r="F4" s="105">
        <v>1.6E-5</v>
      </c>
      <c r="G4" s="99">
        <v>2.07E-5</v>
      </c>
      <c r="H4" s="103">
        <v>4.7E-6</v>
      </c>
      <c r="I4" s="101">
        <v>2.6E-6</v>
      </c>
    </row>
    <row r="5" ht="15.75" customHeight="1">
      <c r="A5" s="1">
        <v>100.0</v>
      </c>
      <c r="B5" s="94">
        <v>5.0E-7</v>
      </c>
      <c r="C5" s="95">
        <v>9.4E-6</v>
      </c>
      <c r="D5" s="96">
        <v>6.6E-6</v>
      </c>
      <c r="E5" s="104">
        <v>3.5E-6</v>
      </c>
      <c r="F5" s="102">
        <v>2.46E-5</v>
      </c>
      <c r="G5" s="106">
        <v>3.4E-5</v>
      </c>
      <c r="H5" s="103">
        <v>8.5E-6</v>
      </c>
      <c r="I5" s="101">
        <v>4.9E-6</v>
      </c>
    </row>
    <row r="6" ht="15.75" customHeight="1">
      <c r="A6" s="1">
        <v>1000.0</v>
      </c>
      <c r="B6" s="94">
        <v>3.5E-6</v>
      </c>
      <c r="C6" s="95">
        <v>0.0010503</v>
      </c>
      <c r="D6" s="96">
        <v>8.345E-4</v>
      </c>
      <c r="E6" s="104">
        <v>3.47E-5</v>
      </c>
      <c r="F6" s="102">
        <v>4.542E-4</v>
      </c>
      <c r="G6" s="99">
        <v>2.598E-4</v>
      </c>
      <c r="H6" s="103">
        <v>2.271E-4</v>
      </c>
      <c r="I6" s="107">
        <v>7.8E-5</v>
      </c>
    </row>
    <row r="7" ht="15.75" customHeight="1">
      <c r="A7" s="1">
        <v>10000.0</v>
      </c>
      <c r="B7" s="94">
        <v>3.43E-5</v>
      </c>
      <c r="C7" s="95">
        <v>0.0897676</v>
      </c>
      <c r="D7" s="96">
        <v>0.0780845</v>
      </c>
      <c r="E7" s="104">
        <v>4.43E-4</v>
      </c>
      <c r="F7" s="102">
        <v>0.0022143</v>
      </c>
      <c r="G7" s="106">
        <v>0.001831</v>
      </c>
      <c r="H7" s="103">
        <v>0.0022367</v>
      </c>
      <c r="I7" s="101">
        <v>7.689E-4</v>
      </c>
    </row>
    <row r="8" ht="15.75" customHeight="1">
      <c r="A8" s="1">
        <v>100000.0</v>
      </c>
      <c r="B8" s="94">
        <v>7.718E-4</v>
      </c>
      <c r="C8" s="95">
        <v>8.8455091</v>
      </c>
      <c r="D8" s="96">
        <v>6.1233466</v>
      </c>
      <c r="E8" s="104">
        <v>0.0047988</v>
      </c>
      <c r="F8" s="102">
        <v>0.0211812</v>
      </c>
      <c r="G8" s="106">
        <v>0.015377</v>
      </c>
      <c r="H8" s="103">
        <v>0.0174025</v>
      </c>
      <c r="I8" s="101">
        <v>0.0075601</v>
      </c>
    </row>
    <row r="9" ht="15.75" customHeight="1">
      <c r="A9" s="1">
        <v>1000000.0</v>
      </c>
      <c r="B9" s="94">
        <v>0.0032974</v>
      </c>
      <c r="C9" s="108">
        <v>712.896</v>
      </c>
      <c r="D9" s="109">
        <v>573.0</v>
      </c>
      <c r="E9" s="104">
        <v>0.0545904</v>
      </c>
      <c r="F9" s="102">
        <v>0.1694797</v>
      </c>
      <c r="G9" s="106">
        <v>0.173863</v>
      </c>
      <c r="H9" s="103">
        <v>0.2308553</v>
      </c>
      <c r="I9" s="101">
        <v>0.0963435</v>
      </c>
    </row>
    <row r="10" ht="15.75" customHeight="1">
      <c r="A10" s="1">
        <v>1.0E7</v>
      </c>
      <c r="B10" s="110">
        <v>0.0399872</v>
      </c>
      <c r="C10" s="111"/>
      <c r="D10" s="112"/>
      <c r="E10" s="104">
        <v>0.6544425</v>
      </c>
      <c r="F10" s="113">
        <v>1.8745352</v>
      </c>
      <c r="G10" s="99">
        <v>1.8603602</v>
      </c>
      <c r="H10" s="103">
        <v>2.5100879</v>
      </c>
      <c r="I10" s="101">
        <v>1.1909049</v>
      </c>
    </row>
    <row r="11" ht="15.75" customHeight="1">
      <c r="A11" s="1">
        <v>1.0E8</v>
      </c>
      <c r="B11" s="110">
        <v>0.3132697</v>
      </c>
      <c r="C11" s="114"/>
      <c r="D11" s="115"/>
      <c r="E11" s="104">
        <v>7.4575182</v>
      </c>
      <c r="F11" s="113">
        <v>17.4806584</v>
      </c>
      <c r="G11" s="99">
        <v>19.6583179</v>
      </c>
      <c r="H11" s="116">
        <v>26.924</v>
      </c>
      <c r="I11" s="117">
        <v>11.505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6.38"/>
    <col customWidth="1" min="2" max="6" width="12.63"/>
  </cols>
  <sheetData>
    <row r="1" ht="15.75" customHeight="1">
      <c r="A1" s="92" t="s">
        <v>22</v>
      </c>
      <c r="B1" s="93" t="s">
        <v>1</v>
      </c>
      <c r="C1" s="73" t="s">
        <v>2</v>
      </c>
      <c r="D1" s="74" t="s">
        <v>3</v>
      </c>
      <c r="E1" s="75" t="s">
        <v>4</v>
      </c>
      <c r="F1" s="76" t="s">
        <v>5</v>
      </c>
      <c r="G1" s="77" t="s">
        <v>6</v>
      </c>
      <c r="H1" s="78" t="s">
        <v>7</v>
      </c>
      <c r="I1" s="79" t="s">
        <v>8</v>
      </c>
    </row>
    <row r="2" ht="15.75" customHeight="1">
      <c r="A2" s="1">
        <v>10.0</v>
      </c>
      <c r="B2" s="94">
        <v>2.0E-7</v>
      </c>
      <c r="C2" s="95">
        <v>4.0E-7</v>
      </c>
      <c r="D2" s="96">
        <v>5.0E-7</v>
      </c>
      <c r="E2" s="104">
        <v>1.1E-6</v>
      </c>
      <c r="F2" s="102">
        <v>1.07E-5</v>
      </c>
      <c r="G2" s="99">
        <v>2.7E-6</v>
      </c>
      <c r="H2" s="100">
        <v>1.0E-6</v>
      </c>
      <c r="I2" s="101">
        <v>3.0E-7</v>
      </c>
    </row>
    <row r="3" ht="15.75" customHeight="1">
      <c r="A3" s="1">
        <v>20.0</v>
      </c>
      <c r="B3" s="94">
        <v>5.0E-7</v>
      </c>
      <c r="C3" s="95">
        <v>7.0E-7</v>
      </c>
      <c r="D3" s="96">
        <v>5.0E-7</v>
      </c>
      <c r="E3" s="104">
        <v>1.2E-6</v>
      </c>
      <c r="F3" s="102">
        <v>1.19E-5</v>
      </c>
      <c r="G3" s="99">
        <v>7.6E-6</v>
      </c>
      <c r="H3" s="103">
        <v>1.5E-6</v>
      </c>
      <c r="I3" s="101">
        <v>4.0E-7</v>
      </c>
    </row>
    <row r="4" ht="15.75" customHeight="1">
      <c r="A4" s="1">
        <v>50.0</v>
      </c>
      <c r="B4" s="94">
        <v>5.0E-7</v>
      </c>
      <c r="C4" s="95">
        <v>3.4E-6</v>
      </c>
      <c r="D4" s="96">
        <v>2.7E-6</v>
      </c>
      <c r="E4" s="104">
        <v>2.8E-6</v>
      </c>
      <c r="F4" s="102">
        <v>3.14E-5</v>
      </c>
      <c r="G4" s="99">
        <v>6.6E-6</v>
      </c>
      <c r="H4" s="103">
        <v>5.0E-6</v>
      </c>
      <c r="I4" s="101">
        <v>4.1E-6</v>
      </c>
    </row>
    <row r="5" ht="15.75" customHeight="1">
      <c r="A5" s="1">
        <v>100.0</v>
      </c>
      <c r="B5" s="94">
        <v>5.0E-7</v>
      </c>
      <c r="C5" s="95">
        <v>1.06E-5</v>
      </c>
      <c r="D5" s="118">
        <v>3.3E-5</v>
      </c>
      <c r="E5" s="104">
        <v>6.4E-6</v>
      </c>
      <c r="F5" s="102">
        <v>9.73E-5</v>
      </c>
      <c r="G5" s="99">
        <v>1.07E-5</v>
      </c>
      <c r="H5" s="103">
        <v>9.8E-6</v>
      </c>
      <c r="I5" s="101">
        <v>2.34E-5</v>
      </c>
    </row>
    <row r="6" ht="15.75" customHeight="1">
      <c r="A6" s="1">
        <v>1000.0</v>
      </c>
      <c r="B6" s="94">
        <v>3.2E-6</v>
      </c>
      <c r="C6" s="95">
        <v>0.0010343</v>
      </c>
      <c r="D6" s="96">
        <v>7.169E-4</v>
      </c>
      <c r="E6" s="104">
        <v>5.76E-5</v>
      </c>
      <c r="F6" s="102">
        <v>4.97E-4</v>
      </c>
      <c r="G6" s="99">
        <v>1.261E-4</v>
      </c>
      <c r="H6" s="103">
        <v>1.878E-4</v>
      </c>
      <c r="I6" s="101">
        <v>1.166E-4</v>
      </c>
    </row>
    <row r="7" ht="15.75" customHeight="1">
      <c r="A7" s="1">
        <v>10000.0</v>
      </c>
      <c r="B7" s="94">
        <v>2.042E-4</v>
      </c>
      <c r="C7" s="95">
        <v>0.1026591</v>
      </c>
      <c r="D7" s="96">
        <v>0.0698352</v>
      </c>
      <c r="E7" s="104">
        <v>0.0061688</v>
      </c>
      <c r="F7" s="102">
        <v>0.0030207</v>
      </c>
      <c r="G7" s="99">
        <v>0.0013399</v>
      </c>
      <c r="H7" s="103">
        <v>0.0017523</v>
      </c>
      <c r="I7" s="101">
        <v>7.777E-4</v>
      </c>
    </row>
    <row r="8" ht="15.75" customHeight="1">
      <c r="A8" s="1">
        <v>100000.0</v>
      </c>
      <c r="B8" s="94">
        <v>7.777E-4</v>
      </c>
      <c r="C8" s="95">
        <v>10.3650639</v>
      </c>
      <c r="D8" s="96">
        <v>6.6000804</v>
      </c>
      <c r="E8" s="104">
        <v>0.0122101</v>
      </c>
      <c r="F8" s="102">
        <v>0.027529</v>
      </c>
      <c r="G8" s="99">
        <v>0.0082455</v>
      </c>
      <c r="H8" s="103">
        <v>0.0177576</v>
      </c>
      <c r="I8" s="101">
        <v>0.0113858</v>
      </c>
    </row>
    <row r="9" ht="15.75" customHeight="1">
      <c r="A9" s="1">
        <v>1000000.0</v>
      </c>
      <c r="B9" s="94">
        <v>0.0564578</v>
      </c>
      <c r="C9" s="58">
        <v>651.493</v>
      </c>
      <c r="D9" s="89">
        <v>440.52</v>
      </c>
      <c r="E9" s="104">
        <v>0.0621153</v>
      </c>
      <c r="F9" s="102">
        <v>0.294938</v>
      </c>
      <c r="G9" s="99">
        <v>0.1593559</v>
      </c>
      <c r="H9" s="103">
        <v>0.2256703</v>
      </c>
      <c r="I9" s="119">
        <v>0.11488</v>
      </c>
    </row>
    <row r="10" ht="15.75" customHeight="1">
      <c r="A10" s="1">
        <v>1.0E7</v>
      </c>
      <c r="B10" s="94">
        <v>0.5020571</v>
      </c>
      <c r="C10" s="88"/>
      <c r="D10" s="88"/>
      <c r="E10" s="104">
        <v>0.7021202</v>
      </c>
      <c r="F10" s="105">
        <v>3.8146852</v>
      </c>
      <c r="G10" s="106">
        <v>1.5697534</v>
      </c>
      <c r="H10" s="100">
        <v>3.218833</v>
      </c>
      <c r="I10" s="107">
        <v>1.077704</v>
      </c>
    </row>
    <row r="11" ht="15.75" customHeight="1">
      <c r="A11" s="1">
        <v>1.0E8</v>
      </c>
      <c r="B11" s="94">
        <v>1.0258674</v>
      </c>
      <c r="C11" s="115"/>
      <c r="D11" s="115"/>
      <c r="E11" s="104">
        <v>8.5270953</v>
      </c>
      <c r="F11" s="102">
        <v>44.2835098</v>
      </c>
      <c r="G11" s="99">
        <v>15.0534627</v>
      </c>
      <c r="H11" s="103">
        <v>31.2510781</v>
      </c>
      <c r="I11" s="101">
        <v>14.7631543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88"/>
    <col customWidth="1" min="2" max="6" width="12.63"/>
  </cols>
  <sheetData>
    <row r="1" ht="15.75" customHeight="1">
      <c r="A1" s="92" t="s">
        <v>22</v>
      </c>
      <c r="B1" s="93" t="s">
        <v>1</v>
      </c>
      <c r="C1" s="73" t="s">
        <v>2</v>
      </c>
      <c r="D1" s="74" t="s">
        <v>3</v>
      </c>
      <c r="E1" s="75" t="s">
        <v>4</v>
      </c>
      <c r="F1" s="76" t="s">
        <v>5</v>
      </c>
      <c r="G1" s="77" t="s">
        <v>6</v>
      </c>
      <c r="H1" s="78" t="s">
        <v>7</v>
      </c>
      <c r="I1" s="79" t="s">
        <v>8</v>
      </c>
      <c r="K1" s="120"/>
    </row>
    <row r="2" ht="15.75" customHeight="1">
      <c r="A2" s="1">
        <v>10.0</v>
      </c>
      <c r="B2" s="121">
        <v>1.0E-5</v>
      </c>
      <c r="C2" s="122">
        <v>1.0E-5</v>
      </c>
      <c r="D2" s="123">
        <v>1.0E-5</v>
      </c>
      <c r="E2" s="124">
        <v>1.0E-5</v>
      </c>
      <c r="F2" s="125">
        <v>1.0E-5</v>
      </c>
      <c r="G2" s="126">
        <v>1.0E-5</v>
      </c>
      <c r="H2" s="127">
        <v>1.0E-5</v>
      </c>
      <c r="I2" s="128">
        <v>1.0E-5</v>
      </c>
    </row>
    <row r="3" ht="15.75" customHeight="1">
      <c r="A3" s="1">
        <v>20.0</v>
      </c>
      <c r="B3" s="121">
        <v>1.0E-5</v>
      </c>
      <c r="C3" s="122">
        <v>1.0E-5</v>
      </c>
      <c r="D3" s="123">
        <v>1.0E-5</v>
      </c>
      <c r="E3" s="124">
        <v>1.0E-5</v>
      </c>
      <c r="F3" s="125">
        <v>1.0E-5</v>
      </c>
      <c r="G3" s="126">
        <v>1.0E-5</v>
      </c>
      <c r="H3" s="127">
        <v>1.0E-5</v>
      </c>
      <c r="I3" s="128">
        <v>1.0E-5</v>
      </c>
    </row>
    <row r="4" ht="15.75" customHeight="1">
      <c r="A4" s="1">
        <v>50.0</v>
      </c>
      <c r="B4" s="121">
        <v>1.0E-5</v>
      </c>
      <c r="C4" s="122">
        <v>1.0E-5</v>
      </c>
      <c r="D4" s="123">
        <v>1.0E-5</v>
      </c>
      <c r="E4" s="124">
        <v>1.0E-5</v>
      </c>
      <c r="F4" s="125">
        <v>1.0E-5</v>
      </c>
      <c r="G4" s="126">
        <v>1.0E-5</v>
      </c>
      <c r="H4" s="127">
        <v>1.0E-5</v>
      </c>
      <c r="I4" s="128">
        <v>1.0E-5</v>
      </c>
    </row>
    <row r="5" ht="15.75" customHeight="1">
      <c r="A5" s="1">
        <v>100.0</v>
      </c>
      <c r="B5" s="121">
        <v>1.0E-5</v>
      </c>
      <c r="C5" s="122">
        <v>1.0E-5</v>
      </c>
      <c r="D5" s="123">
        <v>1.0E-5</v>
      </c>
      <c r="E5" s="124">
        <v>1.0E-5</v>
      </c>
      <c r="F5" s="125">
        <v>1.0E-5</v>
      </c>
      <c r="G5" s="126">
        <v>1.0E-5</v>
      </c>
      <c r="H5" s="127">
        <v>1.0E-5</v>
      </c>
      <c r="I5" s="128">
        <v>1.0E-5</v>
      </c>
    </row>
    <row r="6" ht="15.75" customHeight="1">
      <c r="A6" s="1">
        <v>1000.0</v>
      </c>
      <c r="B6" s="121">
        <v>1.0E-5</v>
      </c>
      <c r="C6" s="58">
        <v>0.001</v>
      </c>
      <c r="D6" s="123">
        <v>1.0E-5</v>
      </c>
      <c r="E6" s="60">
        <v>0.001</v>
      </c>
      <c r="F6" s="125">
        <v>1.0E-5</v>
      </c>
      <c r="G6" s="126">
        <v>1.0E-5</v>
      </c>
      <c r="H6" s="127">
        <v>1.0E-5</v>
      </c>
      <c r="I6" s="64">
        <v>0.001</v>
      </c>
    </row>
    <row r="7" ht="15.75" customHeight="1">
      <c r="A7" s="1">
        <v>10000.0</v>
      </c>
      <c r="B7" s="129">
        <v>0.04</v>
      </c>
      <c r="C7" s="58">
        <v>0.033</v>
      </c>
      <c r="D7" s="59">
        <v>0.026</v>
      </c>
      <c r="E7" s="124">
        <v>1.0E-5</v>
      </c>
      <c r="F7" s="61">
        <v>0.001</v>
      </c>
      <c r="G7" s="62">
        <v>0.001</v>
      </c>
      <c r="H7" s="63">
        <v>0.001</v>
      </c>
      <c r="I7" s="64">
        <v>0.001</v>
      </c>
    </row>
    <row r="8" ht="15.75" customHeight="1">
      <c r="A8" s="1">
        <v>100000.0</v>
      </c>
      <c r="B8" s="57">
        <v>4.884</v>
      </c>
      <c r="C8" s="58">
        <v>4.509</v>
      </c>
      <c r="D8" s="59">
        <v>4.309</v>
      </c>
      <c r="E8" s="124">
        <v>1.0E-5</v>
      </c>
      <c r="F8" s="61">
        <v>0.027</v>
      </c>
      <c r="G8" s="62">
        <v>0.012</v>
      </c>
      <c r="H8" s="63">
        <v>0.014</v>
      </c>
      <c r="I8" s="64">
        <v>0.013</v>
      </c>
    </row>
    <row r="9" ht="15.75" customHeight="1">
      <c r="A9" s="1">
        <v>1000000.0</v>
      </c>
      <c r="B9" s="130">
        <v>524.329</v>
      </c>
      <c r="C9" s="108">
        <v>366.404</v>
      </c>
      <c r="D9" s="131">
        <v>265.765</v>
      </c>
      <c r="E9" s="124">
        <v>1.0E-5</v>
      </c>
      <c r="F9" s="61">
        <v>0.121</v>
      </c>
      <c r="G9" s="62">
        <v>0.046</v>
      </c>
      <c r="H9" s="63">
        <v>0.113</v>
      </c>
      <c r="I9" s="64">
        <v>0.054</v>
      </c>
    </row>
    <row r="10" ht="15.75" customHeight="1">
      <c r="A10" s="1">
        <v>1.0E7</v>
      </c>
      <c r="B10" s="132"/>
      <c r="C10" s="132"/>
      <c r="D10" s="133"/>
      <c r="E10" s="124">
        <v>1.0E-5</v>
      </c>
      <c r="F10" s="61">
        <v>1.325</v>
      </c>
      <c r="G10" s="62">
        <v>0.532</v>
      </c>
      <c r="H10" s="63">
        <v>1.741</v>
      </c>
      <c r="I10" s="64">
        <v>0.612</v>
      </c>
    </row>
    <row r="11" ht="15.75" customHeight="1">
      <c r="A11" s="1">
        <v>1.0E8</v>
      </c>
      <c r="B11" s="88"/>
      <c r="C11" s="88"/>
      <c r="D11" s="134"/>
      <c r="E11" s="135">
        <v>16.9785971</v>
      </c>
      <c r="F11" s="136">
        <v>16.7007158</v>
      </c>
      <c r="G11" s="137">
        <v>16.7845469</v>
      </c>
      <c r="H11" s="138">
        <v>26.990527</v>
      </c>
      <c r="I11" s="139">
        <v>18.6015907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