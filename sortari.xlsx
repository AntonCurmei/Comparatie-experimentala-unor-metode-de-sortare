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nton\uni\"/>
    </mc:Choice>
  </mc:AlternateContent>
  <xr:revisionPtr revIDLastSave="0" documentId="13_ncr:1_{44033721-C4AA-4F34-A0C4-71D016A63C89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Lista, nr random" sheetId="1" r:id="rId1"/>
    <sheet name="N Liste, nr random" sheetId="2" r:id="rId2"/>
    <sheet name="Lista sortata" sheetId="3" r:id="rId3"/>
    <sheet name="Lista aproape sortata (~98%)" sheetId="4" r:id="rId4"/>
    <sheet name="Lista invers sortata" sheetId="5" r:id="rId5"/>
  </sheets>
  <calcPr calcId="191029"/>
</workbook>
</file>

<file path=xl/calcChain.xml><?xml version="1.0" encoding="utf-8"?>
<calcChain xmlns="http://schemas.openxmlformats.org/spreadsheetml/2006/main">
  <c r="H6" i="1" l="1"/>
  <c r="Q51" i="1"/>
  <c r="P51" i="1"/>
  <c r="O51" i="1"/>
  <c r="N51" i="1"/>
  <c r="M51" i="1"/>
  <c r="L51" i="1"/>
  <c r="K51" i="1"/>
  <c r="J51" i="1"/>
  <c r="I51" i="1"/>
  <c r="H51" i="1"/>
  <c r="Q46" i="1"/>
  <c r="P46" i="1"/>
  <c r="O46" i="1"/>
  <c r="N46" i="1"/>
  <c r="M46" i="1"/>
  <c r="L46" i="1"/>
  <c r="K46" i="1"/>
  <c r="J46" i="1"/>
  <c r="I46" i="1"/>
  <c r="H46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G31" i="1"/>
  <c r="F31" i="1"/>
  <c r="E31" i="1"/>
  <c r="D31" i="1"/>
  <c r="C31" i="1"/>
  <c r="B31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Q6" i="1"/>
  <c r="P6" i="1"/>
  <c r="O6" i="1"/>
  <c r="N6" i="1"/>
  <c r="M6" i="1"/>
  <c r="L6" i="1"/>
  <c r="K6" i="1"/>
  <c r="J6" i="1"/>
  <c r="I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<sst xmlns="http://schemas.openxmlformats.org/spreadsheetml/2006/main" count="257" uniqueCount="23">
  <si>
    <t>n</t>
  </si>
  <si>
    <t>Insertion</t>
  </si>
  <si>
    <t>Selection</t>
  </si>
  <si>
    <t>DoubleSelection</t>
  </si>
  <si>
    <t>Quick</t>
  </si>
  <si>
    <t>Bucket</t>
  </si>
  <si>
    <t>Radix</t>
  </si>
  <si>
    <t>Heap</t>
  </si>
  <si>
    <t>Tim</t>
  </si>
  <si>
    <t>nr random mari</t>
  </si>
  <si>
    <t>nr random mici</t>
  </si>
  <si>
    <t>test1</t>
  </si>
  <si>
    <t>test2</t>
  </si>
  <si>
    <t>test3</t>
  </si>
  <si>
    <t>mediu</t>
  </si>
  <si>
    <t>timp (nr mari)</t>
  </si>
  <si>
    <t>timp (nr mici)</t>
  </si>
  <si>
    <t>Numar de liste</t>
  </si>
  <si>
    <t>cu 10 elemente</t>
  </si>
  <si>
    <t>cu 50 elemente</t>
  </si>
  <si>
    <t>cu 100 elemente</t>
  </si>
  <si>
    <t>cu 1000 elemente</t>
  </si>
  <si>
    <t>Numar de elemente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</si>
</sst>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0000000"/>
    <numFmt numFmtId="165" formatCode="0.000000000"/>
    <numFmt numFmtId="166" formatCode="#,##0.000"/>
    <numFmt numFmtId="167" formatCode="0.000000"/>
    <numFmt numFmtId="168" formatCode="0.000"/>
    <numFmt numFmtId="169" formatCode="#,##0.0000000"/>
    <numFmt numFmtId="170" formatCode="#,##0.000000"/>
    <numFmt numFmtId="171" formatCode="#,##0.00000000"/>
    <numFmt numFmtId="177" formatCode="0.0000000"/>
    <numFmt numFmtId="183" formatCode="0.0000000000"/>
  </numFmts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2"/>
      <color theme="1"/>
      <name val="Arial"/>
    </font>
    <font>
      <sz val="12"/>
      <color theme="1"/>
      <name val="&quot;gg sans&quot;"/>
    </font>
    <font>
      <sz val="10"/>
      <color rgb="FF000000"/>
      <name val="Arial"/>
    </font>
  </fonts>
  <fills count="2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1" xfId="0" applyFont="1" applyFill="1" applyBorder="1"/>
    <xf numFmtId="0" fontId="3" fillId="2" borderId="5" xfId="0" applyFont="1" applyFill="1" applyBorder="1" applyAlignment="1">
      <alignment horizontal="left"/>
    </xf>
    <xf numFmtId="0" fontId="1" fillId="11" borderId="6" xfId="0" applyFont="1" applyFill="1" applyBorder="1"/>
    <xf numFmtId="0" fontId="1" fillId="11" borderId="7" xfId="0" applyFont="1" applyFill="1" applyBorder="1"/>
    <xf numFmtId="0" fontId="1" fillId="12" borderId="7" xfId="0" applyFont="1" applyFill="1" applyBorder="1"/>
    <xf numFmtId="0" fontId="1" fillId="13" borderId="7" xfId="0" applyFont="1" applyFill="1" applyBorder="1"/>
    <xf numFmtId="0" fontId="1" fillId="14" borderId="7" xfId="0" applyFont="1" applyFill="1" applyBorder="1"/>
    <xf numFmtId="0" fontId="1" fillId="15" borderId="7" xfId="0" applyFont="1" applyFill="1" applyBorder="1"/>
    <xf numFmtId="0" fontId="1" fillId="16" borderId="7" xfId="0" applyFont="1" applyFill="1" applyBorder="1"/>
    <xf numFmtId="0" fontId="1" fillId="17" borderId="7" xfId="0" applyFont="1" applyFill="1" applyBorder="1"/>
    <xf numFmtId="0" fontId="1" fillId="18" borderId="7" xfId="0" applyFont="1" applyFill="1" applyBorder="1"/>
    <xf numFmtId="0" fontId="1" fillId="11" borderId="5" xfId="0" applyFont="1" applyFill="1" applyBorder="1"/>
    <xf numFmtId="0" fontId="1" fillId="12" borderId="5" xfId="0" applyFont="1" applyFill="1" applyBorder="1"/>
    <xf numFmtId="0" fontId="1" fillId="13" borderId="5" xfId="0" applyFont="1" applyFill="1" applyBorder="1"/>
    <xf numFmtId="0" fontId="1" fillId="14" borderId="5" xfId="0" applyFont="1" applyFill="1" applyBorder="1"/>
    <xf numFmtId="0" fontId="1" fillId="15" borderId="5" xfId="0" applyFont="1" applyFill="1" applyBorder="1"/>
    <xf numFmtId="0" fontId="1" fillId="16" borderId="5" xfId="0" applyFont="1" applyFill="1" applyBorder="1"/>
    <xf numFmtId="0" fontId="1" fillId="17" borderId="5" xfId="0" applyFont="1" applyFill="1" applyBorder="1"/>
    <xf numFmtId="0" fontId="1" fillId="18" borderId="5" xfId="0" applyFont="1" applyFill="1" applyBorder="1"/>
    <xf numFmtId="164" fontId="1" fillId="11" borderId="5" xfId="0" applyNumberFormat="1" applyFont="1" applyFill="1" applyBorder="1"/>
    <xf numFmtId="164" fontId="1" fillId="13" borderId="5" xfId="0" applyNumberFormat="1" applyFont="1" applyFill="1" applyBorder="1"/>
    <xf numFmtId="164" fontId="1" fillId="14" borderId="5" xfId="0" applyNumberFormat="1" applyFont="1" applyFill="1" applyBorder="1"/>
    <xf numFmtId="164" fontId="1" fillId="15" borderId="5" xfId="0" applyNumberFormat="1" applyFont="1" applyFill="1" applyBorder="1"/>
    <xf numFmtId="164" fontId="1" fillId="16" borderId="5" xfId="0" applyNumberFormat="1" applyFont="1" applyFill="1" applyBorder="1"/>
    <xf numFmtId="164" fontId="1" fillId="17" borderId="5" xfId="0" applyNumberFormat="1" applyFont="1" applyFill="1" applyBorder="1"/>
    <xf numFmtId="164" fontId="1" fillId="18" borderId="5" xfId="0" applyNumberFormat="1" applyFont="1" applyFill="1" applyBorder="1"/>
    <xf numFmtId="0" fontId="1" fillId="19" borderId="8" xfId="0" applyFont="1" applyFill="1" applyBorder="1"/>
    <xf numFmtId="0" fontId="1" fillId="19" borderId="5" xfId="0" applyFont="1" applyFill="1" applyBorder="1"/>
    <xf numFmtId="0" fontId="1" fillId="20" borderId="5" xfId="0" applyFont="1" applyFill="1" applyBorder="1"/>
    <xf numFmtId="0" fontId="1" fillId="21" borderId="5" xfId="0" applyFont="1" applyFill="1" applyBorder="1"/>
    <xf numFmtId="0" fontId="1" fillId="22" borderId="5" xfId="0" applyFont="1" applyFill="1" applyBorder="1"/>
    <xf numFmtId="0" fontId="1" fillId="23" borderId="5" xfId="0" applyFont="1" applyFill="1" applyBorder="1"/>
    <xf numFmtId="0" fontId="1" fillId="24" borderId="5" xfId="0" applyFont="1" applyFill="1" applyBorder="1"/>
    <xf numFmtId="0" fontId="1" fillId="25" borderId="5" xfId="0" applyFont="1" applyFill="1" applyBorder="1"/>
    <xf numFmtId="0" fontId="1" fillId="26" borderId="5" xfId="0" applyFont="1" applyFill="1" applyBorder="1"/>
    <xf numFmtId="164" fontId="1" fillId="19" borderId="5" xfId="0" applyNumberFormat="1" applyFont="1" applyFill="1" applyBorder="1"/>
    <xf numFmtId="164" fontId="1" fillId="20" borderId="5" xfId="0" applyNumberFormat="1" applyFont="1" applyFill="1" applyBorder="1"/>
    <xf numFmtId="164" fontId="1" fillId="21" borderId="5" xfId="0" applyNumberFormat="1" applyFont="1" applyFill="1" applyBorder="1"/>
    <xf numFmtId="164" fontId="1" fillId="22" borderId="5" xfId="0" applyNumberFormat="1" applyFont="1" applyFill="1" applyBorder="1"/>
    <xf numFmtId="164" fontId="1" fillId="23" borderId="5" xfId="0" applyNumberFormat="1" applyFont="1" applyFill="1" applyBorder="1"/>
    <xf numFmtId="164" fontId="1" fillId="24" borderId="5" xfId="0" applyNumberFormat="1" applyFont="1" applyFill="1" applyBorder="1"/>
    <xf numFmtId="164" fontId="1" fillId="25" borderId="5" xfId="0" applyNumberFormat="1" applyFont="1" applyFill="1" applyBorder="1"/>
    <xf numFmtId="0" fontId="1" fillId="11" borderId="8" xfId="0" applyFont="1" applyFill="1" applyBorder="1"/>
    <xf numFmtId="164" fontId="1" fillId="12" borderId="5" xfId="0" applyNumberFormat="1" applyFont="1" applyFill="1" applyBorder="1"/>
    <xf numFmtId="165" fontId="1" fillId="13" borderId="5" xfId="0" applyNumberFormat="1" applyFont="1" applyFill="1" applyBorder="1"/>
    <xf numFmtId="0" fontId="4" fillId="2" borderId="5" xfId="0" applyFont="1" applyFill="1" applyBorder="1" applyAlignment="1">
      <alignment horizontal="left"/>
    </xf>
    <xf numFmtId="166" fontId="1" fillId="19" borderId="5" xfId="0" applyNumberFormat="1" applyFont="1" applyFill="1" applyBorder="1"/>
    <xf numFmtId="166" fontId="1" fillId="20" borderId="5" xfId="0" applyNumberFormat="1" applyFont="1" applyFill="1" applyBorder="1"/>
    <xf numFmtId="166" fontId="1" fillId="21" borderId="5" xfId="0" applyNumberFormat="1" applyFont="1" applyFill="1" applyBorder="1"/>
    <xf numFmtId="166" fontId="1" fillId="22" borderId="5" xfId="0" applyNumberFormat="1" applyFont="1" applyFill="1" applyBorder="1"/>
    <xf numFmtId="166" fontId="1" fillId="23" borderId="5" xfId="0" applyNumberFormat="1" applyFont="1" applyFill="1" applyBorder="1"/>
    <xf numFmtId="166" fontId="1" fillId="24" borderId="5" xfId="0" applyNumberFormat="1" applyFont="1" applyFill="1" applyBorder="1"/>
    <xf numFmtId="166" fontId="1" fillId="25" borderId="5" xfId="0" applyNumberFormat="1" applyFont="1" applyFill="1" applyBorder="1"/>
    <xf numFmtId="166" fontId="1" fillId="26" borderId="5" xfId="0" applyNumberFormat="1" applyFont="1" applyFill="1" applyBorder="1"/>
    <xf numFmtId="0" fontId="1" fillId="0" borderId="0" xfId="0" applyFont="1"/>
    <xf numFmtId="167" fontId="1" fillId="14" borderId="5" xfId="0" applyNumberFormat="1" applyFont="1" applyFill="1" applyBorder="1"/>
    <xf numFmtId="168" fontId="1" fillId="22" borderId="5" xfId="0" applyNumberFormat="1" applyFont="1" applyFill="1" applyBorder="1"/>
    <xf numFmtId="168" fontId="1" fillId="24" borderId="5" xfId="0" applyNumberFormat="1" applyFont="1" applyFill="1" applyBorder="1"/>
    <xf numFmtId="166" fontId="1" fillId="0" borderId="0" xfId="0" applyNumberFormat="1" applyFont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8" borderId="5" xfId="0" applyFont="1" applyFill="1" applyBorder="1"/>
    <xf numFmtId="0" fontId="1" fillId="9" borderId="5" xfId="0" applyFont="1" applyFill="1" applyBorder="1"/>
    <xf numFmtId="0" fontId="1" fillId="10" borderId="5" xfId="0" applyFont="1" applyFill="1" applyBorder="1"/>
    <xf numFmtId="166" fontId="1" fillId="11" borderId="5" xfId="0" applyNumberFormat="1" applyFont="1" applyFill="1" applyBorder="1"/>
    <xf numFmtId="166" fontId="1" fillId="12" borderId="5" xfId="0" applyNumberFormat="1" applyFont="1" applyFill="1" applyBorder="1"/>
    <xf numFmtId="166" fontId="1" fillId="13" borderId="5" xfId="0" applyNumberFormat="1" applyFont="1" applyFill="1" applyBorder="1"/>
    <xf numFmtId="166" fontId="1" fillId="14" borderId="5" xfId="0" applyNumberFormat="1" applyFont="1" applyFill="1" applyBorder="1"/>
    <xf numFmtId="166" fontId="1" fillId="15" borderId="5" xfId="0" applyNumberFormat="1" applyFont="1" applyFill="1" applyBorder="1"/>
    <xf numFmtId="166" fontId="1" fillId="16" borderId="5" xfId="0" applyNumberFormat="1" applyFont="1" applyFill="1" applyBorder="1"/>
    <xf numFmtId="166" fontId="1" fillId="17" borderId="5" xfId="0" applyNumberFormat="1" applyFont="1" applyFill="1" applyBorder="1"/>
    <xf numFmtId="166" fontId="1" fillId="18" borderId="5" xfId="0" applyNumberFormat="1" applyFont="1" applyFill="1" applyBorder="1"/>
    <xf numFmtId="166" fontId="1" fillId="27" borderId="1" xfId="0" applyNumberFormat="1" applyFont="1" applyFill="1" applyBorder="1"/>
    <xf numFmtId="4" fontId="1" fillId="21" borderId="5" xfId="0" applyNumberFormat="1" applyFont="1" applyFill="1" applyBorder="1"/>
    <xf numFmtId="4" fontId="1" fillId="22" borderId="5" xfId="0" applyNumberFormat="1" applyFont="1" applyFill="1" applyBorder="1"/>
    <xf numFmtId="4" fontId="1" fillId="23" borderId="5" xfId="0" applyNumberFormat="1" applyFont="1" applyFill="1" applyBorder="1"/>
    <xf numFmtId="0" fontId="1" fillId="2" borderId="5" xfId="0" applyFont="1" applyFill="1" applyBorder="1"/>
    <xf numFmtId="0" fontId="1" fillId="3" borderId="8" xfId="0" applyFont="1" applyFill="1" applyBorder="1"/>
    <xf numFmtId="169" fontId="1" fillId="19" borderId="5" xfId="0" applyNumberFormat="1" applyFont="1" applyFill="1" applyBorder="1"/>
    <xf numFmtId="169" fontId="1" fillId="20" borderId="5" xfId="0" applyNumberFormat="1" applyFont="1" applyFill="1" applyBorder="1"/>
    <xf numFmtId="169" fontId="1" fillId="21" borderId="5" xfId="0" applyNumberFormat="1" applyFont="1" applyFill="1" applyBorder="1"/>
    <xf numFmtId="170" fontId="1" fillId="22" borderId="5" xfId="0" applyNumberFormat="1" applyFont="1" applyFill="1" applyBorder="1"/>
    <xf numFmtId="171" fontId="1" fillId="23" borderId="5" xfId="0" applyNumberFormat="1" applyFont="1" applyFill="1" applyBorder="1"/>
    <xf numFmtId="169" fontId="1" fillId="24" borderId="5" xfId="0" applyNumberFormat="1" applyFont="1" applyFill="1" applyBorder="1"/>
    <xf numFmtId="170" fontId="1" fillId="25" borderId="5" xfId="0" applyNumberFormat="1" applyFont="1" applyFill="1" applyBorder="1"/>
    <xf numFmtId="169" fontId="1" fillId="26" borderId="5" xfId="0" applyNumberFormat="1" applyFont="1" applyFill="1" applyBorder="1"/>
    <xf numFmtId="169" fontId="1" fillId="23" borderId="5" xfId="0" applyNumberFormat="1" applyFont="1" applyFill="1" applyBorder="1"/>
    <xf numFmtId="169" fontId="1" fillId="25" borderId="5" xfId="0" applyNumberFormat="1" applyFont="1" applyFill="1" applyBorder="1"/>
    <xf numFmtId="169" fontId="1" fillId="22" borderId="5" xfId="0" applyNumberFormat="1" applyFont="1" applyFill="1" applyBorder="1"/>
    <xf numFmtId="170" fontId="1" fillId="23" borderId="5" xfId="0" applyNumberFormat="1" applyFont="1" applyFill="1" applyBorder="1"/>
    <xf numFmtId="170" fontId="1" fillId="24" borderId="5" xfId="0" applyNumberFormat="1" applyFont="1" applyFill="1" applyBorder="1"/>
    <xf numFmtId="170" fontId="1" fillId="26" borderId="5" xfId="0" applyNumberFormat="1" applyFont="1" applyFill="1" applyBorder="1"/>
    <xf numFmtId="169" fontId="1" fillId="19" borderId="10" xfId="0" applyNumberFormat="1" applyFont="1" applyFill="1" applyBorder="1"/>
    <xf numFmtId="169" fontId="1" fillId="27" borderId="11" xfId="0" applyNumberFormat="1" applyFont="1" applyFill="1" applyBorder="1"/>
    <xf numFmtId="169" fontId="1" fillId="27" borderId="12" xfId="0" applyNumberFormat="1" applyFont="1" applyFill="1" applyBorder="1"/>
    <xf numFmtId="169" fontId="1" fillId="23" borderId="8" xfId="0" applyNumberFormat="1" applyFont="1" applyFill="1" applyBorder="1"/>
    <xf numFmtId="169" fontId="1" fillId="27" borderId="13" xfId="0" applyNumberFormat="1" applyFont="1" applyFill="1" applyBorder="1"/>
    <xf numFmtId="169" fontId="1" fillId="27" borderId="1" xfId="0" applyNumberFormat="1" applyFont="1" applyFill="1" applyBorder="1"/>
    <xf numFmtId="0" fontId="5" fillId="0" borderId="0" xfId="0" applyFont="1"/>
    <xf numFmtId="0" fontId="1" fillId="3" borderId="2" xfId="0" applyFont="1" applyFill="1" applyBorder="1"/>
    <xf numFmtId="0" fontId="2" fillId="0" borderId="3" xfId="0" applyFont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1" fillId="9" borderId="2" xfId="0" applyFont="1" applyFill="1" applyBorder="1"/>
    <xf numFmtId="0" fontId="2" fillId="0" borderId="4" xfId="0" applyFont="1" applyBorder="1"/>
    <xf numFmtId="0" fontId="1" fillId="10" borderId="2" xfId="0" applyFont="1" applyFill="1" applyBorder="1"/>
    <xf numFmtId="169" fontId="1" fillId="21" borderId="9" xfId="0" applyNumberFormat="1" applyFont="1" applyFill="1" applyBorder="1"/>
    <xf numFmtId="169" fontId="1" fillId="20" borderId="9" xfId="0" applyNumberFormat="1" applyFont="1" applyFill="1" applyBorder="1"/>
    <xf numFmtId="177" fontId="1" fillId="17" borderId="5" xfId="0" applyNumberFormat="1" applyFont="1" applyFill="1" applyBorder="1"/>
    <xf numFmtId="183" fontId="1" fillId="12" borderId="5" xfId="0" applyNumberFormat="1" applyFont="1" applyFill="1" applyBorder="1"/>
    <xf numFmtId="183" fontId="1" fillId="11" borderId="5" xfId="0" applyNumberFormat="1" applyFont="1" applyFill="1" applyBorder="1"/>
    <xf numFmtId="183" fontId="1" fillId="13" borderId="5" xfId="0" applyNumberFormat="1" applyFont="1" applyFill="1" applyBorder="1"/>
    <xf numFmtId="0" fontId="1" fillId="13" borderId="5" xfId="0" applyNumberFormat="1" applyFont="1" applyFill="1" applyBorder="1"/>
    <xf numFmtId="0" fontId="1" fillId="19" borderId="5" xfId="0" applyNumberFormat="1" applyFont="1" applyFill="1" applyBorder="1"/>
    <xf numFmtId="0" fontId="1" fillId="20" borderId="5" xfId="0" applyNumberFormat="1" applyFont="1" applyFill="1" applyBorder="1"/>
    <xf numFmtId="0" fontId="1" fillId="21" borderId="5" xfId="0" applyNumberFormat="1" applyFont="1" applyFill="1" applyBorder="1"/>
    <xf numFmtId="0" fontId="1" fillId="22" borderId="5" xfId="0" applyNumberFormat="1" applyFont="1" applyFill="1" applyBorder="1"/>
    <xf numFmtId="0" fontId="1" fillId="23" borderId="5" xfId="0" applyNumberFormat="1" applyFont="1" applyFill="1" applyBorder="1"/>
    <xf numFmtId="0" fontId="1" fillId="24" borderId="5" xfId="0" applyNumberFormat="1" applyFont="1" applyFill="1" applyBorder="1"/>
    <xf numFmtId="0" fontId="1" fillId="25" borderId="5" xfId="0" applyNumberFormat="1" applyFont="1" applyFill="1" applyBorder="1"/>
    <xf numFmtId="0" fontId="1" fillId="26" borderId="5" xfId="0" applyNumberFormat="1" applyFont="1" applyFill="1" applyBorder="1"/>
    <xf numFmtId="0" fontId="1" fillId="27" borderId="1" xfId="0" applyNumberFormat="1" applyFont="1" applyFill="1" applyBorder="1"/>
    <xf numFmtId="0" fontId="1" fillId="19" borderId="9" xfId="0" applyNumberFormat="1" applyFont="1" applyFill="1" applyBorder="1"/>
    <xf numFmtId="0" fontId="1" fillId="20" borderId="9" xfId="0" applyNumberFormat="1" applyFont="1" applyFill="1" applyBorder="1"/>
    <xf numFmtId="0" fontId="1" fillId="27" borderId="12" xfId="0" applyNumberFormat="1" applyFont="1" applyFill="1" applyBorder="1"/>
    <xf numFmtId="0" fontId="1" fillId="27" borderId="14" xfId="0" applyNumberFormat="1" applyFont="1" applyFill="1" applyBorder="1"/>
    <xf numFmtId="0" fontId="1" fillId="27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topLeftCell="A28" workbookViewId="0">
      <selection activeCell="G49" sqref="G49"/>
    </sheetView>
  </sheetViews>
  <sheetFormatPr defaultColWidth="12.6328125" defaultRowHeight="15" customHeight="1"/>
  <cols>
    <col min="1" max="1" width="12.6328125" customWidth="1"/>
    <col min="2" max="17" width="13.453125" customWidth="1"/>
  </cols>
  <sheetData>
    <row r="1" spans="1:17" ht="15.75" customHeight="1">
      <c r="A1" s="1" t="s">
        <v>0</v>
      </c>
      <c r="B1" s="103" t="s">
        <v>1</v>
      </c>
      <c r="C1" s="104"/>
      <c r="D1" s="105" t="s">
        <v>2</v>
      </c>
      <c r="E1" s="104"/>
      <c r="F1" s="106" t="s">
        <v>3</v>
      </c>
      <c r="G1" s="104"/>
      <c r="H1" s="107" t="s">
        <v>4</v>
      </c>
      <c r="I1" s="104"/>
      <c r="J1" s="108" t="s">
        <v>5</v>
      </c>
      <c r="K1" s="104"/>
      <c r="L1" s="109" t="s">
        <v>6</v>
      </c>
      <c r="M1" s="104"/>
      <c r="N1" s="110" t="s">
        <v>7</v>
      </c>
      <c r="O1" s="111"/>
      <c r="P1" s="112" t="s">
        <v>8</v>
      </c>
      <c r="Q1" s="111"/>
    </row>
    <row r="2" spans="1:17" ht="15.75" customHeight="1">
      <c r="A2" s="2">
        <v>10</v>
      </c>
      <c r="B2" s="3" t="s">
        <v>9</v>
      </c>
      <c r="C2" s="4" t="s">
        <v>10</v>
      </c>
      <c r="D2" s="5" t="s">
        <v>9</v>
      </c>
      <c r="E2" s="5" t="s">
        <v>10</v>
      </c>
      <c r="F2" s="6" t="s">
        <v>9</v>
      </c>
      <c r="G2" s="6" t="s">
        <v>10</v>
      </c>
      <c r="H2" s="7" t="s">
        <v>9</v>
      </c>
      <c r="I2" s="7" t="s">
        <v>10</v>
      </c>
      <c r="J2" s="8" t="s">
        <v>9</v>
      </c>
      <c r="K2" s="8" t="s">
        <v>10</v>
      </c>
      <c r="L2" s="9" t="s">
        <v>9</v>
      </c>
      <c r="M2" s="9" t="s">
        <v>10</v>
      </c>
      <c r="N2" s="10" t="s">
        <v>9</v>
      </c>
      <c r="O2" s="10" t="s">
        <v>10</v>
      </c>
      <c r="P2" s="11" t="s">
        <v>9</v>
      </c>
      <c r="Q2" s="11" t="s">
        <v>10</v>
      </c>
    </row>
    <row r="3" spans="1:17" ht="15.75" customHeight="1">
      <c r="A3" s="1" t="s">
        <v>11</v>
      </c>
      <c r="B3" s="12">
        <v>4.9999999999999998E-7</v>
      </c>
      <c r="C3" s="12">
        <v>1.9999999999999999E-6</v>
      </c>
      <c r="D3" s="13">
        <v>6.9999999999999997E-7</v>
      </c>
      <c r="E3" s="13">
        <v>1.9999999999999999E-6</v>
      </c>
      <c r="F3" s="14">
        <v>4.9999999999999998E-7</v>
      </c>
      <c r="G3" s="14">
        <v>1.9999999999999999E-6</v>
      </c>
      <c r="H3" s="15">
        <v>1.1999999999999999E-6</v>
      </c>
      <c r="I3" s="15">
        <v>1.9999999999999999E-6</v>
      </c>
      <c r="J3" s="16">
        <v>4.3000000000000003E-6</v>
      </c>
      <c r="K3" s="16">
        <v>3.0000000000000001E-6</v>
      </c>
      <c r="L3" s="17">
        <v>7.1999999999999997E-6</v>
      </c>
      <c r="M3" s="17">
        <v>1.9999999999999999E-6</v>
      </c>
      <c r="N3" s="115">
        <v>8.9999999999999996E-7</v>
      </c>
      <c r="O3" s="18">
        <v>3.0000000000000001E-6</v>
      </c>
      <c r="P3" s="19">
        <v>3.9999999999999998E-7</v>
      </c>
      <c r="Q3" s="19">
        <v>1.1000000000000001E-6</v>
      </c>
    </row>
    <row r="4" spans="1:17" ht="15.75" customHeight="1">
      <c r="A4" s="1" t="s">
        <v>12</v>
      </c>
      <c r="B4" s="12">
        <v>3.9999999999999998E-7</v>
      </c>
      <c r="C4" s="12">
        <v>9.9999999999999995E-7</v>
      </c>
      <c r="D4" s="13">
        <v>4.9999999999999998E-7</v>
      </c>
      <c r="E4" s="13">
        <v>1.9999999999999999E-6</v>
      </c>
      <c r="F4" s="14">
        <v>4.9999999999999998E-7</v>
      </c>
      <c r="G4" s="14">
        <v>9.9999999999999995E-7</v>
      </c>
      <c r="H4" s="15">
        <v>1.1000000000000001E-6</v>
      </c>
      <c r="I4" s="15">
        <v>9.9999999999999995E-7</v>
      </c>
      <c r="J4" s="16">
        <v>4.0999999999999997E-6</v>
      </c>
      <c r="K4" s="16">
        <v>3.0000000000000001E-6</v>
      </c>
      <c r="L4" s="17">
        <v>4.6999999999999999E-6</v>
      </c>
      <c r="M4" s="17">
        <v>3.0000000000000001E-6</v>
      </c>
      <c r="N4" s="18">
        <v>6.9999999999999997E-7</v>
      </c>
      <c r="O4" s="18">
        <v>3.0000000000000001E-6</v>
      </c>
      <c r="P4" s="19">
        <v>4.9999999999999998E-7</v>
      </c>
      <c r="Q4" s="19">
        <v>1.9999999999999999E-6</v>
      </c>
    </row>
    <row r="5" spans="1:17" ht="15.75" customHeight="1">
      <c r="A5" s="1" t="s">
        <v>13</v>
      </c>
      <c r="B5" s="12">
        <v>3.9999999999999998E-7</v>
      </c>
      <c r="C5" s="12">
        <v>1.9999999999999999E-6</v>
      </c>
      <c r="D5" s="13">
        <v>4.9999999999999998E-7</v>
      </c>
      <c r="E5" s="13">
        <v>1.9999999999999999E-6</v>
      </c>
      <c r="F5" s="14">
        <v>4.9999999999999998E-7</v>
      </c>
      <c r="G5" s="14">
        <v>9.9999999999999995E-7</v>
      </c>
      <c r="H5" s="15">
        <v>9.9999999999999995E-7</v>
      </c>
      <c r="I5" s="15">
        <v>9.9999999999999995E-7</v>
      </c>
      <c r="J5" s="16">
        <v>1.9999999999999999E-6</v>
      </c>
      <c r="K5" s="16">
        <v>3.0000000000000001E-6</v>
      </c>
      <c r="L5" s="17">
        <v>3.9999999999999998E-6</v>
      </c>
      <c r="M5" s="17">
        <v>1.9999999999999999E-6</v>
      </c>
      <c r="N5" s="18">
        <v>1.9999999999999999E-6</v>
      </c>
      <c r="O5" s="18">
        <v>3.0000000000000001E-6</v>
      </c>
      <c r="P5" s="19">
        <v>9.9999999999999995E-7</v>
      </c>
      <c r="Q5" s="19">
        <v>9.9999999999999995E-7</v>
      </c>
    </row>
    <row r="6" spans="1:17" ht="15.75" customHeight="1">
      <c r="A6" s="1" t="s">
        <v>14</v>
      </c>
      <c r="B6" s="117">
        <f t="shared" ref="B6:Q6" si="0">AVERAGE(B3:B5)</f>
        <v>4.333333333333333E-7</v>
      </c>
      <c r="C6" s="20">
        <f t="shared" si="0"/>
        <v>1.6666666666666665E-6</v>
      </c>
      <c r="D6" s="116">
        <f t="shared" si="0"/>
        <v>5.6666666666666661E-7</v>
      </c>
      <c r="E6" s="13">
        <f t="shared" si="0"/>
        <v>1.9999999999999999E-6</v>
      </c>
      <c r="F6" s="119">
        <f t="shared" si="0"/>
        <v>4.9999999999999998E-7</v>
      </c>
      <c r="G6" s="118">
        <f t="shared" si="0"/>
        <v>1.3333333333333332E-6</v>
      </c>
      <c r="H6" s="15">
        <f t="shared" si="0"/>
        <v>1.0999999999999998E-6</v>
      </c>
      <c r="I6" s="22">
        <f t="shared" si="0"/>
        <v>1.3333333333333332E-6</v>
      </c>
      <c r="J6" s="23">
        <f t="shared" si="0"/>
        <v>3.4666666666666668E-6</v>
      </c>
      <c r="K6" s="16">
        <f t="shared" si="0"/>
        <v>3.0000000000000001E-6</v>
      </c>
      <c r="L6" s="24">
        <f t="shared" si="0"/>
        <v>5.3000000000000001E-6</v>
      </c>
      <c r="M6" s="24">
        <f t="shared" si="0"/>
        <v>2.3333333333333332E-6</v>
      </c>
      <c r="N6" s="25">
        <f t="shared" si="0"/>
        <v>1.1999999999999999E-6</v>
      </c>
      <c r="O6" s="18">
        <f t="shared" si="0"/>
        <v>3.0000000000000001E-6</v>
      </c>
      <c r="P6" s="19">
        <f t="shared" si="0"/>
        <v>6.3333333333333334E-7</v>
      </c>
      <c r="Q6" s="26">
        <f t="shared" si="0"/>
        <v>1.3666666666666666E-6</v>
      </c>
    </row>
    <row r="7" spans="1:17" ht="15.75" customHeight="1">
      <c r="A7" s="2">
        <v>20</v>
      </c>
      <c r="B7" s="27" t="s">
        <v>9</v>
      </c>
      <c r="C7" s="28" t="s">
        <v>10</v>
      </c>
      <c r="D7" s="29" t="s">
        <v>9</v>
      </c>
      <c r="E7" s="29" t="s">
        <v>10</v>
      </c>
      <c r="F7" s="30" t="s">
        <v>9</v>
      </c>
      <c r="G7" s="30" t="s">
        <v>10</v>
      </c>
      <c r="H7" s="31" t="s">
        <v>9</v>
      </c>
      <c r="I7" s="31" t="s">
        <v>10</v>
      </c>
      <c r="J7" s="32" t="s">
        <v>9</v>
      </c>
      <c r="K7" s="32" t="s">
        <v>10</v>
      </c>
      <c r="L7" s="33" t="s">
        <v>9</v>
      </c>
      <c r="M7" s="33" t="s">
        <v>10</v>
      </c>
      <c r="N7" s="34" t="s">
        <v>9</v>
      </c>
      <c r="O7" s="34" t="s">
        <v>10</v>
      </c>
      <c r="P7" s="35" t="s">
        <v>9</v>
      </c>
      <c r="Q7" s="35" t="s">
        <v>10</v>
      </c>
    </row>
    <row r="8" spans="1:17" ht="15.75" customHeight="1">
      <c r="A8" s="1" t="s">
        <v>11</v>
      </c>
      <c r="B8" s="28">
        <v>9.9999999999999995E-7</v>
      </c>
      <c r="C8" s="28">
        <v>1.9999999999999999E-6</v>
      </c>
      <c r="D8" s="29">
        <v>1.9999999999999999E-6</v>
      </c>
      <c r="E8" s="29">
        <v>1.9999999999999999E-6</v>
      </c>
      <c r="F8" s="30">
        <v>1.9999999999999999E-6</v>
      </c>
      <c r="G8" s="30">
        <v>1.9999999999999999E-6</v>
      </c>
      <c r="H8" s="31">
        <v>1.9999999999999999E-6</v>
      </c>
      <c r="I8" s="31">
        <v>1.9999999999999999E-6</v>
      </c>
      <c r="J8" s="32">
        <v>3.0000000000000001E-6</v>
      </c>
      <c r="K8" s="32">
        <v>5.0000000000000004E-6</v>
      </c>
      <c r="L8" s="33">
        <v>6.0000000000000002E-6</v>
      </c>
      <c r="M8" s="33">
        <v>1.9999999999999999E-6</v>
      </c>
      <c r="N8" s="34">
        <v>3.0000000000000001E-6</v>
      </c>
      <c r="O8" s="34">
        <v>1.9999999999999999E-6</v>
      </c>
      <c r="P8" s="35">
        <v>9.9999999999999995E-7</v>
      </c>
      <c r="Q8" s="35">
        <v>9.9999999999999995E-7</v>
      </c>
    </row>
    <row r="9" spans="1:17" ht="15.75" customHeight="1">
      <c r="A9" s="1" t="s">
        <v>12</v>
      </c>
      <c r="B9" s="28">
        <v>1.9999999999999999E-6</v>
      </c>
      <c r="C9" s="28">
        <v>9.9999999999999995E-7</v>
      </c>
      <c r="D9" s="29">
        <v>1.9999999999999999E-6</v>
      </c>
      <c r="E9" s="29">
        <v>9.9999999999999995E-7</v>
      </c>
      <c r="F9" s="30">
        <v>1.9999999999999999E-6</v>
      </c>
      <c r="G9" s="30">
        <v>9.9999999999999995E-7</v>
      </c>
      <c r="H9" s="31">
        <v>1.9999999999999999E-6</v>
      </c>
      <c r="I9" s="31">
        <v>9.9999999999999995E-7</v>
      </c>
      <c r="J9" s="32">
        <v>3.9999999999999998E-6</v>
      </c>
      <c r="K9" s="32">
        <v>3.0000000000000001E-6</v>
      </c>
      <c r="L9" s="33">
        <v>6.0000000000000002E-6</v>
      </c>
      <c r="M9" s="33">
        <v>1.9999999999999999E-6</v>
      </c>
      <c r="N9" s="34">
        <v>3.0000000000000001E-6</v>
      </c>
      <c r="O9" s="34">
        <v>1.9999999999999999E-6</v>
      </c>
      <c r="P9" s="35">
        <v>9.9999999999999995E-7</v>
      </c>
      <c r="Q9" s="35">
        <v>9.9999999999999995E-7</v>
      </c>
    </row>
    <row r="10" spans="1:17" ht="15.75" customHeight="1">
      <c r="A10" s="1" t="s">
        <v>13</v>
      </c>
      <c r="B10" s="28">
        <v>1.9999999999999999E-6</v>
      </c>
      <c r="C10" s="28">
        <v>1.9999999999999999E-6</v>
      </c>
      <c r="D10" s="29">
        <v>1.9999999999999999E-6</v>
      </c>
      <c r="E10" s="29">
        <v>1.9999999999999999E-6</v>
      </c>
      <c r="F10" s="30">
        <v>9.9999999999999995E-7</v>
      </c>
      <c r="G10" s="30">
        <v>1.9999999999999999E-6</v>
      </c>
      <c r="H10" s="31">
        <v>9.9999999999999995E-7</v>
      </c>
      <c r="I10" s="31">
        <v>9.9999999999999995E-7</v>
      </c>
      <c r="J10" s="32">
        <v>3.9999999999999998E-6</v>
      </c>
      <c r="K10" s="32">
        <v>3.0000000000000001E-6</v>
      </c>
      <c r="L10" s="33">
        <v>6.0000000000000002E-6</v>
      </c>
      <c r="M10" s="33">
        <v>3.0000000000000001E-6</v>
      </c>
      <c r="N10" s="34">
        <v>3.0000000000000001E-6</v>
      </c>
      <c r="O10" s="34">
        <v>3.0000000000000001E-6</v>
      </c>
      <c r="P10" s="35">
        <v>9.9999999999999995E-7</v>
      </c>
      <c r="Q10" s="35">
        <v>9.9999999999999995E-7</v>
      </c>
    </row>
    <row r="11" spans="1:17" ht="15.75" customHeight="1">
      <c r="A11" s="1" t="s">
        <v>14</v>
      </c>
      <c r="B11" s="36">
        <f t="shared" ref="B11:Q11" si="1">AVERAGE(B8:B10)</f>
        <v>1.6666666666666665E-6</v>
      </c>
      <c r="C11" s="36">
        <f t="shared" si="1"/>
        <v>1.6666666666666665E-6</v>
      </c>
      <c r="D11" s="29">
        <f t="shared" si="1"/>
        <v>1.9999999999999999E-6</v>
      </c>
      <c r="E11" s="37">
        <f t="shared" si="1"/>
        <v>1.6666666666666665E-6</v>
      </c>
      <c r="F11" s="38">
        <f t="shared" si="1"/>
        <v>1.6666666666666665E-6</v>
      </c>
      <c r="G11" s="38">
        <f t="shared" si="1"/>
        <v>1.6666666666666665E-6</v>
      </c>
      <c r="H11" s="39">
        <f t="shared" si="1"/>
        <v>1.6666666666666665E-6</v>
      </c>
      <c r="I11" s="39">
        <f t="shared" si="1"/>
        <v>1.3333333333333332E-6</v>
      </c>
      <c r="J11" s="40">
        <f t="shared" si="1"/>
        <v>3.6666666666666666E-6</v>
      </c>
      <c r="K11" s="40">
        <f t="shared" si="1"/>
        <v>3.666666666666667E-6</v>
      </c>
      <c r="L11" s="33">
        <f t="shared" si="1"/>
        <v>6.0000000000000002E-6</v>
      </c>
      <c r="M11" s="41">
        <f t="shared" si="1"/>
        <v>2.3333333333333332E-6</v>
      </c>
      <c r="N11" s="34">
        <f t="shared" si="1"/>
        <v>3.0000000000000001E-6</v>
      </c>
      <c r="O11" s="42">
        <f t="shared" si="1"/>
        <v>2.3333333333333332E-6</v>
      </c>
      <c r="P11" s="35">
        <f t="shared" si="1"/>
        <v>9.9999999999999995E-7</v>
      </c>
      <c r="Q11" s="35">
        <f t="shared" si="1"/>
        <v>9.9999999999999995E-7</v>
      </c>
    </row>
    <row r="12" spans="1:17" ht="15.75" customHeight="1">
      <c r="A12" s="2">
        <v>50</v>
      </c>
      <c r="B12" s="43" t="s">
        <v>9</v>
      </c>
      <c r="C12" s="12" t="s">
        <v>10</v>
      </c>
      <c r="D12" s="13" t="s">
        <v>9</v>
      </c>
      <c r="E12" s="13" t="s">
        <v>10</v>
      </c>
      <c r="F12" s="14" t="s">
        <v>9</v>
      </c>
      <c r="G12" s="14" t="s">
        <v>10</v>
      </c>
      <c r="H12" s="15" t="s">
        <v>9</v>
      </c>
      <c r="I12" s="15" t="s">
        <v>10</v>
      </c>
      <c r="J12" s="16" t="s">
        <v>15</v>
      </c>
      <c r="K12" s="16" t="s">
        <v>16</v>
      </c>
      <c r="L12" s="17" t="s">
        <v>9</v>
      </c>
      <c r="M12" s="17" t="s">
        <v>10</v>
      </c>
      <c r="N12" s="18" t="s">
        <v>9</v>
      </c>
      <c r="O12" s="18" t="s">
        <v>10</v>
      </c>
      <c r="P12" s="19" t="s">
        <v>9</v>
      </c>
      <c r="Q12" s="19" t="s">
        <v>10</v>
      </c>
    </row>
    <row r="13" spans="1:17" ht="15.75" customHeight="1">
      <c r="A13" s="1" t="s">
        <v>11</v>
      </c>
      <c r="B13" s="12">
        <v>3.0000000000000001E-6</v>
      </c>
      <c r="C13" s="12">
        <v>3.9999999999999998E-6</v>
      </c>
      <c r="D13" s="13">
        <v>6.9999999999999999E-6</v>
      </c>
      <c r="E13" s="13">
        <v>6.0000000000000002E-6</v>
      </c>
      <c r="F13" s="14">
        <v>5.0000000000000004E-6</v>
      </c>
      <c r="G13" s="14">
        <v>3.9999999999999998E-6</v>
      </c>
      <c r="H13" s="15">
        <v>3.9999999999999998E-6</v>
      </c>
      <c r="I13" s="15">
        <v>3.9999999999999998E-6</v>
      </c>
      <c r="J13" s="16">
        <v>6.9999999999999999E-6</v>
      </c>
      <c r="K13" s="16">
        <v>5.0000000000000004E-6</v>
      </c>
      <c r="L13" s="17">
        <v>1.1E-5</v>
      </c>
      <c r="M13" s="17">
        <v>3.9999999999999998E-6</v>
      </c>
      <c r="N13" s="18">
        <v>6.9999999999999999E-6</v>
      </c>
      <c r="O13" s="18">
        <v>6.0000000000000002E-6</v>
      </c>
      <c r="P13" s="19">
        <v>3.9999999999999998E-6</v>
      </c>
      <c r="Q13" s="19">
        <v>3.0000000000000001E-6</v>
      </c>
    </row>
    <row r="14" spans="1:17" ht="15.75" customHeight="1">
      <c r="A14" s="1" t="s">
        <v>12</v>
      </c>
      <c r="B14" s="12">
        <v>3.9999999999999998E-6</v>
      </c>
      <c r="C14" s="12">
        <v>3.0000000000000001E-6</v>
      </c>
      <c r="D14" s="13">
        <v>1.2999999999999999E-5</v>
      </c>
      <c r="E14" s="13">
        <v>6.0000000000000002E-6</v>
      </c>
      <c r="F14" s="14">
        <v>5.0000000000000004E-6</v>
      </c>
      <c r="G14" s="14">
        <v>6.0000000000000002E-6</v>
      </c>
      <c r="H14" s="15">
        <v>3.0000000000000001E-6</v>
      </c>
      <c r="I14" s="15">
        <v>3.0000000000000001E-6</v>
      </c>
      <c r="J14" s="16">
        <v>6.9999999999999999E-6</v>
      </c>
      <c r="K14" s="16">
        <v>6.9999999999999999E-6</v>
      </c>
      <c r="L14" s="17">
        <v>1.1E-5</v>
      </c>
      <c r="M14" s="17">
        <v>3.0000000000000001E-6</v>
      </c>
      <c r="N14" s="18">
        <v>6.0000000000000002E-6</v>
      </c>
      <c r="O14" s="18">
        <v>6.0000000000000002E-6</v>
      </c>
      <c r="P14" s="19">
        <v>3.0000000000000001E-6</v>
      </c>
      <c r="Q14" s="19">
        <v>3.0000000000000001E-6</v>
      </c>
    </row>
    <row r="15" spans="1:17" ht="15.75" customHeight="1">
      <c r="A15" s="1" t="s">
        <v>13</v>
      </c>
      <c r="B15" s="12">
        <v>3.9999999999999998E-6</v>
      </c>
      <c r="C15" s="12">
        <v>3.0000000000000001E-6</v>
      </c>
      <c r="D15" s="13">
        <v>6.9999999999999999E-6</v>
      </c>
      <c r="E15" s="13">
        <v>6.0000000000000002E-6</v>
      </c>
      <c r="F15" s="14">
        <v>5.0000000000000004E-6</v>
      </c>
      <c r="G15" s="14">
        <v>5.0000000000000004E-6</v>
      </c>
      <c r="H15" s="15">
        <v>3.9999999999999998E-6</v>
      </c>
      <c r="I15" s="15">
        <v>3.9999999999999998E-6</v>
      </c>
      <c r="J15" s="16">
        <v>6.0000000000000002E-6</v>
      </c>
      <c r="K15" s="16">
        <v>7.9999999999999996E-6</v>
      </c>
      <c r="L15" s="17">
        <v>1.2E-5</v>
      </c>
      <c r="M15" s="17">
        <v>3.9999999999999998E-6</v>
      </c>
      <c r="N15" s="18">
        <v>6.9999999999999999E-6</v>
      </c>
      <c r="O15" s="18">
        <v>6.0000000000000002E-6</v>
      </c>
      <c r="P15" s="19">
        <v>3.0000000000000001E-6</v>
      </c>
      <c r="Q15" s="19">
        <v>3.0000000000000001E-6</v>
      </c>
    </row>
    <row r="16" spans="1:17" ht="15.75" customHeight="1">
      <c r="A16" s="1" t="s">
        <v>14</v>
      </c>
      <c r="B16" s="20">
        <f t="shared" ref="B16:Q16" si="2">AVERAGE(B13:B15)</f>
        <v>3.6666666666666666E-6</v>
      </c>
      <c r="C16" s="20">
        <f t="shared" si="2"/>
        <v>3.3333333333333329E-6</v>
      </c>
      <c r="D16" s="13">
        <f t="shared" si="2"/>
        <v>9.0000000000000002E-6</v>
      </c>
      <c r="E16" s="13">
        <f t="shared" si="2"/>
        <v>6.0000000000000002E-6</v>
      </c>
      <c r="F16" s="14">
        <f t="shared" si="2"/>
        <v>5.0000000000000004E-6</v>
      </c>
      <c r="G16" s="14">
        <f t="shared" si="2"/>
        <v>4.9999999999999996E-6</v>
      </c>
      <c r="H16" s="22">
        <f t="shared" si="2"/>
        <v>3.6666666666666666E-6</v>
      </c>
      <c r="I16" s="22">
        <f t="shared" si="2"/>
        <v>3.6666666666666666E-6</v>
      </c>
      <c r="J16" s="23">
        <f t="shared" si="2"/>
        <v>6.6666666666666658E-6</v>
      </c>
      <c r="K16" s="23">
        <f t="shared" si="2"/>
        <v>6.6666666666666658E-6</v>
      </c>
      <c r="L16" s="24">
        <f t="shared" si="2"/>
        <v>1.1333333333333334E-5</v>
      </c>
      <c r="M16" s="24">
        <f t="shared" si="2"/>
        <v>3.6666666666666666E-6</v>
      </c>
      <c r="N16" s="25">
        <f t="shared" si="2"/>
        <v>6.6666666666666675E-6</v>
      </c>
      <c r="O16" s="18">
        <f t="shared" si="2"/>
        <v>6.0000000000000002E-6</v>
      </c>
      <c r="P16" s="26">
        <f t="shared" si="2"/>
        <v>3.3333333333333329E-6</v>
      </c>
      <c r="Q16" s="19">
        <f t="shared" si="2"/>
        <v>3.0000000000000001E-6</v>
      </c>
    </row>
    <row r="17" spans="1:17" ht="15.75" customHeight="1">
      <c r="A17" s="2">
        <v>100</v>
      </c>
      <c r="B17" s="27" t="s">
        <v>9</v>
      </c>
      <c r="C17" s="28" t="s">
        <v>10</v>
      </c>
      <c r="D17" s="29" t="s">
        <v>9</v>
      </c>
      <c r="E17" s="29" t="s">
        <v>10</v>
      </c>
      <c r="F17" s="30" t="s">
        <v>9</v>
      </c>
      <c r="G17" s="30" t="s">
        <v>10</v>
      </c>
      <c r="H17" s="31" t="s">
        <v>9</v>
      </c>
      <c r="I17" s="31" t="s">
        <v>10</v>
      </c>
      <c r="J17" s="32" t="s">
        <v>15</v>
      </c>
      <c r="K17" s="32" t="s">
        <v>16</v>
      </c>
      <c r="L17" s="33" t="s">
        <v>9</v>
      </c>
      <c r="M17" s="33" t="s">
        <v>10</v>
      </c>
      <c r="N17" s="34" t="s">
        <v>9</v>
      </c>
      <c r="O17" s="34" t="s">
        <v>10</v>
      </c>
      <c r="P17" s="35" t="s">
        <v>9</v>
      </c>
      <c r="Q17" s="35" t="s">
        <v>10</v>
      </c>
    </row>
    <row r="18" spans="1:17" ht="15.75" customHeight="1">
      <c r="A18" s="1" t="s">
        <v>11</v>
      </c>
      <c r="B18" s="28">
        <v>1.1E-5</v>
      </c>
      <c r="C18" s="28">
        <v>7.9999999999999996E-6</v>
      </c>
      <c r="D18" s="29">
        <v>1.9000000000000001E-5</v>
      </c>
      <c r="E18" s="29">
        <v>2.0000000000000002E-5</v>
      </c>
      <c r="F18" s="30">
        <v>1.4E-5</v>
      </c>
      <c r="G18" s="30">
        <v>1.5999999999999999E-5</v>
      </c>
      <c r="H18" s="31">
        <v>7.9999999999999996E-6</v>
      </c>
      <c r="I18" s="31">
        <v>6.0000000000000002E-6</v>
      </c>
      <c r="J18" s="32">
        <v>9.0000000000000002E-6</v>
      </c>
      <c r="K18" s="32">
        <v>7.9999999999999996E-6</v>
      </c>
      <c r="L18" s="33">
        <v>2.1999999999999999E-5</v>
      </c>
      <c r="M18" s="33">
        <v>3.9999999999999998E-6</v>
      </c>
      <c r="N18" s="34">
        <v>1.2999999999999999E-5</v>
      </c>
      <c r="O18" s="34">
        <v>1.1E-5</v>
      </c>
      <c r="P18" s="35">
        <v>7.9999999999999996E-6</v>
      </c>
      <c r="Q18" s="35">
        <v>6.0000000000000002E-6</v>
      </c>
    </row>
    <row r="19" spans="1:17" ht="15.75" customHeight="1">
      <c r="A19" s="1" t="s">
        <v>12</v>
      </c>
      <c r="B19" s="28">
        <v>9.0000000000000002E-6</v>
      </c>
      <c r="C19" s="28">
        <v>7.9999999999999996E-6</v>
      </c>
      <c r="D19" s="29">
        <v>2.4000000000000001E-5</v>
      </c>
      <c r="E19" s="29">
        <v>1.8E-5</v>
      </c>
      <c r="F19" s="30">
        <v>1.4E-5</v>
      </c>
      <c r="G19" s="30">
        <v>1.5E-5</v>
      </c>
      <c r="H19" s="31">
        <v>6.9999999999999999E-6</v>
      </c>
      <c r="I19" s="31">
        <v>6.9999999999999999E-6</v>
      </c>
      <c r="J19" s="32">
        <v>1.2E-5</v>
      </c>
      <c r="K19" s="32">
        <v>1.1E-5</v>
      </c>
      <c r="L19" s="33">
        <v>2.0999999999999999E-5</v>
      </c>
      <c r="M19" s="33">
        <v>6.0000000000000002E-6</v>
      </c>
      <c r="N19" s="34">
        <v>1.0000000000000001E-5</v>
      </c>
      <c r="O19" s="34">
        <v>1.4E-5</v>
      </c>
      <c r="P19" s="35">
        <v>7.9999999999999996E-6</v>
      </c>
      <c r="Q19" s="35">
        <v>7.9999999999999996E-6</v>
      </c>
    </row>
    <row r="20" spans="1:17" ht="15.75" customHeight="1">
      <c r="A20" s="1" t="s">
        <v>13</v>
      </c>
      <c r="B20" s="28">
        <v>9.0000000000000002E-6</v>
      </c>
      <c r="C20" s="28">
        <v>9.0000000000000002E-6</v>
      </c>
      <c r="D20" s="29">
        <v>1.7E-5</v>
      </c>
      <c r="E20" s="29">
        <v>1.7E-5</v>
      </c>
      <c r="F20" s="30">
        <v>1.4E-5</v>
      </c>
      <c r="G20" s="30">
        <v>1.5999999999999999E-5</v>
      </c>
      <c r="H20" s="31">
        <v>6.9999999999999999E-6</v>
      </c>
      <c r="I20" s="31">
        <v>6.9999999999999999E-6</v>
      </c>
      <c r="J20" s="32">
        <v>1.1E-5</v>
      </c>
      <c r="K20" s="32">
        <v>1.7E-5</v>
      </c>
      <c r="L20" s="33">
        <v>2.0999999999999999E-5</v>
      </c>
      <c r="M20" s="33">
        <v>5.0000000000000004E-6</v>
      </c>
      <c r="N20" s="34">
        <v>1.1E-5</v>
      </c>
      <c r="O20" s="34">
        <v>1.2E-5</v>
      </c>
      <c r="P20" s="35">
        <v>6.9999999999999999E-6</v>
      </c>
      <c r="Q20" s="35">
        <v>6.0000000000000002E-6</v>
      </c>
    </row>
    <row r="21" spans="1:17" ht="15.75" customHeight="1">
      <c r="A21" s="1" t="s">
        <v>14</v>
      </c>
      <c r="B21" s="36">
        <f t="shared" ref="B21:Q21" si="3">AVERAGE(B18:B20)</f>
        <v>9.6666666666666667E-6</v>
      </c>
      <c r="C21" s="36">
        <f t="shared" si="3"/>
        <v>8.333333333333332E-6</v>
      </c>
      <c r="D21" s="29">
        <f t="shared" si="3"/>
        <v>2.0000000000000002E-5</v>
      </c>
      <c r="E21" s="37">
        <f t="shared" si="3"/>
        <v>1.8333333333333333E-5</v>
      </c>
      <c r="F21" s="30">
        <f t="shared" si="3"/>
        <v>1.4E-5</v>
      </c>
      <c r="G21" s="38">
        <f t="shared" si="3"/>
        <v>1.5666666666666667E-5</v>
      </c>
      <c r="H21" s="39">
        <f t="shared" si="3"/>
        <v>7.3333333333333331E-6</v>
      </c>
      <c r="I21" s="39">
        <f t="shared" si="3"/>
        <v>6.6666666666666675E-6</v>
      </c>
      <c r="J21" s="32">
        <f t="shared" si="3"/>
        <v>1.0666666666666669E-5</v>
      </c>
      <c r="K21" s="32">
        <f t="shared" si="3"/>
        <v>1.2E-5</v>
      </c>
      <c r="L21" s="33">
        <f t="shared" si="3"/>
        <v>2.1333333333333331E-5</v>
      </c>
      <c r="M21" s="33">
        <f t="shared" si="3"/>
        <v>4.9999999999999996E-6</v>
      </c>
      <c r="N21" s="34">
        <f t="shared" si="3"/>
        <v>1.1333333333333334E-5</v>
      </c>
      <c r="O21" s="34">
        <f t="shared" si="3"/>
        <v>1.2333333333333333E-5</v>
      </c>
      <c r="P21" s="35">
        <f t="shared" si="3"/>
        <v>7.6666666666666672E-6</v>
      </c>
      <c r="Q21" s="35">
        <f t="shared" si="3"/>
        <v>6.6666666666666658E-6</v>
      </c>
    </row>
    <row r="22" spans="1:17" ht="15.75" customHeight="1">
      <c r="A22" s="2">
        <v>1000</v>
      </c>
      <c r="B22" s="43" t="s">
        <v>9</v>
      </c>
      <c r="C22" s="12" t="s">
        <v>10</v>
      </c>
      <c r="D22" s="13" t="s">
        <v>9</v>
      </c>
      <c r="E22" s="13" t="s">
        <v>10</v>
      </c>
      <c r="F22" s="14" t="s">
        <v>9</v>
      </c>
      <c r="G22" s="14" t="s">
        <v>10</v>
      </c>
      <c r="H22" s="15" t="s">
        <v>9</v>
      </c>
      <c r="I22" s="15" t="s">
        <v>10</v>
      </c>
      <c r="J22" s="16" t="s">
        <v>15</v>
      </c>
      <c r="K22" s="16" t="s">
        <v>16</v>
      </c>
      <c r="L22" s="17" t="s">
        <v>9</v>
      </c>
      <c r="M22" s="17" t="s">
        <v>10</v>
      </c>
      <c r="N22" s="18" t="s">
        <v>9</v>
      </c>
      <c r="O22" s="18" t="s">
        <v>10</v>
      </c>
      <c r="P22" s="19" t="s">
        <v>9</v>
      </c>
      <c r="Q22" s="19" t="s">
        <v>10</v>
      </c>
    </row>
    <row r="23" spans="1:17" ht="15.75" customHeight="1">
      <c r="A23" s="1" t="s">
        <v>11</v>
      </c>
      <c r="B23" s="12">
        <v>6.5300000000000004E-4</v>
      </c>
      <c r="C23" s="12">
        <v>7.8200000000000003E-4</v>
      </c>
      <c r="D23" s="13">
        <v>1.3359999999999999E-3</v>
      </c>
      <c r="E23" s="13">
        <v>1.403E-3</v>
      </c>
      <c r="F23" s="14">
        <v>7.8799999999999996E-4</v>
      </c>
      <c r="G23" s="14">
        <v>7.8899999999999999E-4</v>
      </c>
      <c r="H23" s="15">
        <v>8.7999999999999998E-5</v>
      </c>
      <c r="I23" s="15">
        <v>8.7000000000000001E-5</v>
      </c>
      <c r="J23" s="16">
        <v>8.0000000000000007E-5</v>
      </c>
      <c r="K23" s="16">
        <v>7.8999999999999996E-5</v>
      </c>
      <c r="L23" s="17">
        <v>1.35E-4</v>
      </c>
      <c r="M23" s="17">
        <v>5.8999999999999998E-5</v>
      </c>
      <c r="N23" s="18">
        <v>1.46E-4</v>
      </c>
      <c r="O23" s="18">
        <v>1.4999999999999999E-4</v>
      </c>
      <c r="P23" s="19">
        <v>9.6000000000000002E-5</v>
      </c>
      <c r="Q23" s="19">
        <v>9.8999999999999994E-5</v>
      </c>
    </row>
    <row r="24" spans="1:17" ht="15.75" customHeight="1">
      <c r="A24" s="1" t="s">
        <v>12</v>
      </c>
      <c r="B24" s="12">
        <v>9.0700000000000004E-4</v>
      </c>
      <c r="C24" s="12">
        <v>6.9399999999999996E-4</v>
      </c>
      <c r="D24" s="13">
        <v>1.5430000000000001E-3</v>
      </c>
      <c r="E24" s="13">
        <v>1.3359999999999999E-3</v>
      </c>
      <c r="F24" s="14">
        <v>1.389E-3</v>
      </c>
      <c r="G24" s="14">
        <v>7.8200000000000003E-4</v>
      </c>
      <c r="H24" s="15">
        <v>1.01E-4</v>
      </c>
      <c r="I24" s="15">
        <v>8.2999999999999998E-5</v>
      </c>
      <c r="J24" s="16">
        <v>1.5100000000000001E-4</v>
      </c>
      <c r="K24" s="16">
        <v>7.8999999999999996E-5</v>
      </c>
      <c r="L24" s="17">
        <v>2.0699999999999999E-4</v>
      </c>
      <c r="M24" s="17">
        <v>5.8E-5</v>
      </c>
      <c r="N24" s="18">
        <v>1.9100000000000001E-4</v>
      </c>
      <c r="O24" s="18">
        <v>1.47E-4</v>
      </c>
      <c r="P24" s="19">
        <v>1.08E-4</v>
      </c>
      <c r="Q24" s="19">
        <v>8.8999999999999995E-5</v>
      </c>
    </row>
    <row r="25" spans="1:17" ht="15.75" customHeight="1">
      <c r="A25" s="1" t="s">
        <v>13</v>
      </c>
      <c r="B25" s="12">
        <v>7.0600000000000003E-4</v>
      </c>
      <c r="C25" s="12">
        <v>6.8800000000000003E-4</v>
      </c>
      <c r="D25" s="13">
        <v>1.3370000000000001E-3</v>
      </c>
      <c r="E25" s="13">
        <v>1.5709999999999999E-3</v>
      </c>
      <c r="F25" s="14">
        <v>1.0939999999999999E-3</v>
      </c>
      <c r="G25" s="14">
        <v>1.023E-3</v>
      </c>
      <c r="H25" s="15">
        <v>9.6000000000000002E-5</v>
      </c>
      <c r="I25" s="15">
        <v>9.7E-5</v>
      </c>
      <c r="J25" s="16">
        <v>7.6000000000000004E-5</v>
      </c>
      <c r="K25" s="16">
        <v>1.03E-4</v>
      </c>
      <c r="L25" s="17">
        <v>1.34E-4</v>
      </c>
      <c r="M25" s="17">
        <v>8.1000000000000004E-5</v>
      </c>
      <c r="N25" s="18">
        <v>1.66E-4</v>
      </c>
      <c r="O25" s="18">
        <v>1.45E-4</v>
      </c>
      <c r="P25" s="19">
        <v>8.7999999999999998E-5</v>
      </c>
      <c r="Q25" s="19">
        <v>1.1E-4</v>
      </c>
    </row>
    <row r="26" spans="1:17" ht="15.75" customHeight="1">
      <c r="A26" s="1" t="s">
        <v>14</v>
      </c>
      <c r="B26" s="20">
        <f t="shared" ref="B26:Q26" si="4">AVERAGE(B23:B25)</f>
        <v>7.5533333333333344E-4</v>
      </c>
      <c r="C26" s="12">
        <f t="shared" si="4"/>
        <v>7.2133333333333337E-4</v>
      </c>
      <c r="D26" s="44">
        <f t="shared" si="4"/>
        <v>1.4053333333333333E-3</v>
      </c>
      <c r="E26" s="13">
        <f t="shared" si="4"/>
        <v>1.4366666666666666E-3</v>
      </c>
      <c r="F26" s="21">
        <f t="shared" si="4"/>
        <v>1.0903333333333333E-3</v>
      </c>
      <c r="G26" s="14">
        <f t="shared" si="4"/>
        <v>8.6466666666666669E-4</v>
      </c>
      <c r="H26" s="15">
        <f t="shared" si="4"/>
        <v>9.4999999999999992E-5</v>
      </c>
      <c r="I26" s="15">
        <f t="shared" si="4"/>
        <v>8.8999999999999995E-5</v>
      </c>
      <c r="J26" s="23">
        <f t="shared" si="4"/>
        <v>1.0233333333333335E-4</v>
      </c>
      <c r="K26" s="16">
        <f t="shared" si="4"/>
        <v>8.7000000000000001E-5</v>
      </c>
      <c r="L26" s="24">
        <f t="shared" si="4"/>
        <v>1.5866666666666666E-4</v>
      </c>
      <c r="M26" s="17">
        <f t="shared" si="4"/>
        <v>6.5999999999999992E-5</v>
      </c>
      <c r="N26" s="25">
        <f t="shared" si="4"/>
        <v>1.6766666666666666E-4</v>
      </c>
      <c r="O26" s="18">
        <f t="shared" si="4"/>
        <v>1.4733333333333333E-4</v>
      </c>
      <c r="P26" s="26">
        <f t="shared" si="4"/>
        <v>9.7333333333333332E-5</v>
      </c>
      <c r="Q26" s="19">
        <f t="shared" si="4"/>
        <v>9.9333333333333326E-5</v>
      </c>
    </row>
    <row r="27" spans="1:17" ht="15.75" customHeight="1">
      <c r="A27" s="2">
        <v>10000</v>
      </c>
      <c r="B27" s="27" t="s">
        <v>9</v>
      </c>
      <c r="C27" s="28" t="s">
        <v>10</v>
      </c>
      <c r="D27" s="29" t="s">
        <v>9</v>
      </c>
      <c r="E27" s="29" t="s">
        <v>10</v>
      </c>
      <c r="F27" s="30" t="s">
        <v>9</v>
      </c>
      <c r="G27" s="30" t="s">
        <v>10</v>
      </c>
      <c r="H27" s="31" t="s">
        <v>9</v>
      </c>
      <c r="I27" s="31" t="s">
        <v>10</v>
      </c>
      <c r="J27" s="32" t="s">
        <v>15</v>
      </c>
      <c r="K27" s="32" t="s">
        <v>16</v>
      </c>
      <c r="L27" s="33" t="s">
        <v>9</v>
      </c>
      <c r="M27" s="33" t="s">
        <v>10</v>
      </c>
      <c r="N27" s="34" t="s">
        <v>9</v>
      </c>
      <c r="O27" s="34" t="s">
        <v>10</v>
      </c>
      <c r="P27" s="35" t="s">
        <v>9</v>
      </c>
      <c r="Q27" s="35" t="s">
        <v>10</v>
      </c>
    </row>
    <row r="28" spans="1:17" ht="15.75" customHeight="1">
      <c r="A28" s="1" t="s">
        <v>11</v>
      </c>
      <c r="B28" s="28">
        <v>2.1000000000000001E-2</v>
      </c>
      <c r="C28" s="28">
        <v>2.1000000000000001E-2</v>
      </c>
      <c r="D28" s="29">
        <v>3.1E-2</v>
      </c>
      <c r="E28" s="29">
        <v>3.2000000000000001E-2</v>
      </c>
      <c r="F28" s="30">
        <v>2.5999999999999999E-2</v>
      </c>
      <c r="G28" s="30">
        <v>2.5999999999999999E-2</v>
      </c>
      <c r="H28" s="31">
        <v>1E-3</v>
      </c>
      <c r="I28" s="31">
        <v>1E-3</v>
      </c>
      <c r="J28" s="32">
        <v>1E-3</v>
      </c>
      <c r="K28" s="32">
        <v>1E-3</v>
      </c>
      <c r="L28" s="33">
        <v>1E-3</v>
      </c>
      <c r="M28" s="33">
        <v>1E-3</v>
      </c>
      <c r="N28" s="34">
        <v>1E-3</v>
      </c>
      <c r="O28" s="34">
        <v>1E-3</v>
      </c>
      <c r="P28" s="35">
        <v>1E-3</v>
      </c>
      <c r="Q28" s="35">
        <v>1E-3</v>
      </c>
    </row>
    <row r="29" spans="1:17" ht="15.75" customHeight="1">
      <c r="A29" s="1" t="s">
        <v>12</v>
      </c>
      <c r="B29" s="28">
        <v>0.02</v>
      </c>
      <c r="C29" s="28">
        <v>0.02</v>
      </c>
      <c r="D29" s="29">
        <v>3.2000000000000001E-2</v>
      </c>
      <c r="E29" s="29">
        <v>3.2000000000000001E-2</v>
      </c>
      <c r="F29" s="30">
        <v>2.5000000000000001E-2</v>
      </c>
      <c r="G29" s="30">
        <v>2.5000000000000001E-2</v>
      </c>
      <c r="H29" s="31">
        <v>1E-3</v>
      </c>
      <c r="I29" s="31">
        <v>1E-3</v>
      </c>
      <c r="J29" s="32">
        <v>1E-3</v>
      </c>
      <c r="K29" s="32">
        <v>1E-3</v>
      </c>
      <c r="L29" s="33">
        <v>1E-3</v>
      </c>
      <c r="M29" s="33">
        <v>1E-3</v>
      </c>
      <c r="N29" s="34">
        <v>1E-3</v>
      </c>
      <c r="O29" s="34">
        <v>1E-3</v>
      </c>
      <c r="P29" s="35">
        <v>1E-3</v>
      </c>
      <c r="Q29" s="35">
        <v>1E-3</v>
      </c>
    </row>
    <row r="30" spans="1:17" ht="15.75" customHeight="1">
      <c r="A30" s="1" t="s">
        <v>13</v>
      </c>
      <c r="B30" s="28">
        <v>2.1000000000000001E-2</v>
      </c>
      <c r="C30" s="28">
        <v>0.02</v>
      </c>
      <c r="D30" s="29">
        <v>3.3000000000000002E-2</v>
      </c>
      <c r="E30" s="29">
        <v>3.2000000000000001E-2</v>
      </c>
      <c r="F30" s="30">
        <v>0.25</v>
      </c>
      <c r="G30" s="30">
        <v>0.25</v>
      </c>
      <c r="H30" s="31">
        <v>1E-3</v>
      </c>
      <c r="I30" s="31">
        <v>1E-3</v>
      </c>
      <c r="J30" s="32">
        <v>1E-3</v>
      </c>
      <c r="K30" s="32">
        <v>1E-3</v>
      </c>
      <c r="L30" s="33">
        <v>1E-3</v>
      </c>
      <c r="M30" s="33">
        <v>1E-3</v>
      </c>
      <c r="N30" s="34">
        <v>1E-3</v>
      </c>
      <c r="O30" s="34">
        <v>1E-3</v>
      </c>
      <c r="P30" s="35">
        <v>1E-3</v>
      </c>
      <c r="Q30" s="35">
        <v>1E-3</v>
      </c>
    </row>
    <row r="31" spans="1:17" ht="15.75" customHeight="1">
      <c r="A31" s="1" t="s">
        <v>14</v>
      </c>
      <c r="B31" s="28">
        <f t="shared" ref="B31:G31" si="5">AVERAGE(B28:B30)</f>
        <v>2.0666666666666667E-2</v>
      </c>
      <c r="C31" s="28">
        <f t="shared" si="5"/>
        <v>2.0333333333333332E-2</v>
      </c>
      <c r="D31" s="29">
        <f t="shared" si="5"/>
        <v>3.2000000000000001E-2</v>
      </c>
      <c r="E31" s="29">
        <f t="shared" si="5"/>
        <v>3.2000000000000001E-2</v>
      </c>
      <c r="F31" s="30">
        <f t="shared" si="5"/>
        <v>0.10033333333333333</v>
      </c>
      <c r="G31" s="30">
        <f t="shared" si="5"/>
        <v>0.10033333333333333</v>
      </c>
      <c r="H31" s="31">
        <v>1E-3</v>
      </c>
      <c r="I31" s="31">
        <v>1E-3</v>
      </c>
      <c r="J31" s="32">
        <v>1E-3</v>
      </c>
      <c r="K31" s="32">
        <v>1E-3</v>
      </c>
      <c r="L31" s="33">
        <v>1E-3</v>
      </c>
      <c r="M31" s="33">
        <v>1E-3</v>
      </c>
      <c r="N31" s="34">
        <v>1E-3</v>
      </c>
      <c r="O31" s="34">
        <v>1E-3</v>
      </c>
      <c r="P31" s="35">
        <v>1E-3</v>
      </c>
      <c r="Q31" s="35">
        <v>1E-3</v>
      </c>
    </row>
    <row r="32" spans="1:17" ht="15.75" customHeight="1">
      <c r="A32" s="2">
        <v>100000</v>
      </c>
      <c r="B32" s="43" t="s">
        <v>9</v>
      </c>
      <c r="C32" s="12" t="s">
        <v>10</v>
      </c>
      <c r="D32" s="13" t="s">
        <v>9</v>
      </c>
      <c r="E32" s="13" t="s">
        <v>10</v>
      </c>
      <c r="F32" s="14" t="s">
        <v>9</v>
      </c>
      <c r="G32" s="14" t="s">
        <v>10</v>
      </c>
      <c r="H32" s="15" t="s">
        <v>9</v>
      </c>
      <c r="I32" s="15" t="s">
        <v>10</v>
      </c>
      <c r="J32" s="16" t="s">
        <v>15</v>
      </c>
      <c r="K32" s="16" t="s">
        <v>16</v>
      </c>
      <c r="L32" s="17" t="s">
        <v>9</v>
      </c>
      <c r="M32" s="17" t="s">
        <v>10</v>
      </c>
      <c r="N32" s="18" t="s">
        <v>9</v>
      </c>
      <c r="O32" s="18" t="s">
        <v>10</v>
      </c>
      <c r="P32" s="19" t="s">
        <v>9</v>
      </c>
      <c r="Q32" s="19" t="s">
        <v>10</v>
      </c>
    </row>
    <row r="33" spans="1:17" ht="15.75" customHeight="1">
      <c r="A33" s="1" t="s">
        <v>11</v>
      </c>
      <c r="B33" s="12">
        <v>2.0939999999999999</v>
      </c>
      <c r="C33" s="12">
        <v>2.0819999999999999</v>
      </c>
      <c r="D33" s="13">
        <v>3.22</v>
      </c>
      <c r="E33" s="13">
        <v>3.6749999999999998</v>
      </c>
      <c r="F33" s="14">
        <v>3.9420000000000002</v>
      </c>
      <c r="G33" s="14">
        <v>3.202</v>
      </c>
      <c r="H33" s="15">
        <v>1.4999999999999999E-2</v>
      </c>
      <c r="I33" s="15">
        <v>6.0000000000000001E-3</v>
      </c>
      <c r="J33" s="16">
        <v>1.4999999999999999E-2</v>
      </c>
      <c r="K33" s="16">
        <v>7.0000000000000001E-3</v>
      </c>
      <c r="L33" s="17">
        <v>2.4E-2</v>
      </c>
      <c r="M33" s="17">
        <v>3.0000000000000001E-3</v>
      </c>
      <c r="N33" s="18">
        <v>2.4E-2</v>
      </c>
      <c r="O33" s="18">
        <v>1.9E-2</v>
      </c>
      <c r="P33" s="19">
        <v>1.9E-2</v>
      </c>
      <c r="Q33" s="19">
        <v>1.2999999999999999E-2</v>
      </c>
    </row>
    <row r="34" spans="1:17" ht="15.75" customHeight="1">
      <c r="A34" s="1" t="s">
        <v>12</v>
      </c>
      <c r="B34" s="12">
        <v>2.06</v>
      </c>
      <c r="C34" s="12">
        <v>2.0569999999999999</v>
      </c>
      <c r="D34" s="13">
        <v>3.11</v>
      </c>
      <c r="E34" s="13">
        <v>4.7880000000000003</v>
      </c>
      <c r="F34" s="14">
        <v>2.4980000000000002</v>
      </c>
      <c r="G34" s="14">
        <v>3.758</v>
      </c>
      <c r="H34" s="15">
        <v>7.0000000000000001E-3</v>
      </c>
      <c r="I34" s="15">
        <v>6.0000000000000001E-3</v>
      </c>
      <c r="J34" s="16">
        <v>0.01</v>
      </c>
      <c r="K34" s="16">
        <v>8.0000000000000002E-3</v>
      </c>
      <c r="L34" s="17">
        <v>7.0000000000000001E-3</v>
      </c>
      <c r="M34" s="17">
        <v>4.0000000000000001E-3</v>
      </c>
      <c r="N34" s="18">
        <v>1.2999999999999999E-2</v>
      </c>
      <c r="O34" s="18">
        <v>1.9E-2</v>
      </c>
      <c r="P34" s="19">
        <v>0.01</v>
      </c>
      <c r="Q34" s="19">
        <v>1.2E-2</v>
      </c>
    </row>
    <row r="35" spans="1:17" ht="15.75" customHeight="1">
      <c r="A35" s="1" t="s">
        <v>13</v>
      </c>
      <c r="B35" s="12">
        <v>2.0779999999999998</v>
      </c>
      <c r="C35" s="12">
        <v>2.0619999999999998</v>
      </c>
      <c r="D35" s="13">
        <v>3.1259999999999999</v>
      </c>
      <c r="E35" s="13">
        <v>4.758</v>
      </c>
      <c r="F35" s="14">
        <v>2.5489999999999999</v>
      </c>
      <c r="G35" s="14">
        <v>4.1680000000000001</v>
      </c>
      <c r="H35" s="15">
        <v>7.0000000000000001E-3</v>
      </c>
      <c r="I35" s="15">
        <v>8.9999999999999993E-3</v>
      </c>
      <c r="J35" s="16">
        <v>0.01</v>
      </c>
      <c r="K35" s="16">
        <v>1.2E-2</v>
      </c>
      <c r="L35" s="17">
        <v>7.0000000000000001E-3</v>
      </c>
      <c r="M35" s="17">
        <v>1.2999999999999999E-2</v>
      </c>
      <c r="N35" s="18">
        <v>1.4E-2</v>
      </c>
      <c r="O35" s="18">
        <v>1.9E-2</v>
      </c>
      <c r="P35" s="19">
        <v>8.9999999999999993E-3</v>
      </c>
      <c r="Q35" s="19">
        <v>1.4E-2</v>
      </c>
    </row>
    <row r="36" spans="1:17" ht="15.75" customHeight="1">
      <c r="A36" s="1" t="s">
        <v>14</v>
      </c>
      <c r="B36" s="12">
        <f t="shared" ref="B36:Q36" si="6">AVERAGE(B33:B35)</f>
        <v>2.0773333333333333</v>
      </c>
      <c r="C36" s="12">
        <f t="shared" si="6"/>
        <v>2.0669999999999997</v>
      </c>
      <c r="D36" s="13">
        <f t="shared" si="6"/>
        <v>3.1519999999999997</v>
      </c>
      <c r="E36" s="13">
        <f t="shared" si="6"/>
        <v>4.407</v>
      </c>
      <c r="F36" s="14">
        <f t="shared" si="6"/>
        <v>2.9963333333333337</v>
      </c>
      <c r="G36" s="45">
        <f t="shared" si="6"/>
        <v>3.7093333333333334</v>
      </c>
      <c r="H36" s="22">
        <f t="shared" si="6"/>
        <v>9.6666666666666654E-3</v>
      </c>
      <c r="I36" s="15">
        <f t="shared" si="6"/>
        <v>6.9999999999999993E-3</v>
      </c>
      <c r="J36" s="16">
        <f t="shared" si="6"/>
        <v>1.1666666666666667E-2</v>
      </c>
      <c r="K36" s="16">
        <f t="shared" si="6"/>
        <v>8.9999999999999993E-3</v>
      </c>
      <c r="L36" s="17">
        <f t="shared" si="6"/>
        <v>1.2666666666666666E-2</v>
      </c>
      <c r="M36" s="24">
        <f t="shared" si="6"/>
        <v>6.6666666666666671E-3</v>
      </c>
      <c r="N36" s="18">
        <f t="shared" si="6"/>
        <v>1.6999999999999998E-2</v>
      </c>
      <c r="O36" s="18">
        <f t="shared" si="6"/>
        <v>1.9E-2</v>
      </c>
      <c r="P36" s="19">
        <f t="shared" si="6"/>
        <v>1.2666666666666666E-2</v>
      </c>
      <c r="Q36" s="19">
        <f t="shared" si="6"/>
        <v>1.2999999999999999E-2</v>
      </c>
    </row>
    <row r="37" spans="1:17" ht="15.75" customHeight="1">
      <c r="A37" s="46">
        <v>1000000</v>
      </c>
      <c r="B37" s="27" t="s">
        <v>9</v>
      </c>
      <c r="C37" s="28" t="s">
        <v>10</v>
      </c>
      <c r="D37" s="29" t="s">
        <v>9</v>
      </c>
      <c r="E37" s="29" t="s">
        <v>10</v>
      </c>
      <c r="F37" s="30" t="s">
        <v>9</v>
      </c>
      <c r="G37" s="30" t="s">
        <v>10</v>
      </c>
      <c r="H37" s="31" t="s">
        <v>9</v>
      </c>
      <c r="I37" s="31" t="s">
        <v>10</v>
      </c>
      <c r="J37" s="32" t="s">
        <v>15</v>
      </c>
      <c r="K37" s="32" t="s">
        <v>16</v>
      </c>
      <c r="L37" s="33" t="s">
        <v>9</v>
      </c>
      <c r="M37" s="33" t="s">
        <v>10</v>
      </c>
      <c r="N37" s="34" t="s">
        <v>9</v>
      </c>
      <c r="O37" s="34" t="s">
        <v>10</v>
      </c>
      <c r="P37" s="35" t="s">
        <v>9</v>
      </c>
      <c r="Q37" s="35" t="s">
        <v>10</v>
      </c>
    </row>
    <row r="38" spans="1:17" ht="15.75" customHeight="1">
      <c r="A38" s="1" t="s">
        <v>11</v>
      </c>
      <c r="B38" s="47">
        <v>454.46699999999998</v>
      </c>
      <c r="C38" s="47">
        <v>423.58800000000002</v>
      </c>
      <c r="D38" s="48">
        <v>985.98900000000003</v>
      </c>
      <c r="E38" s="48">
        <v>409.02499999999998</v>
      </c>
      <c r="F38" s="49">
        <v>716.03499999999997</v>
      </c>
      <c r="G38" s="49">
        <v>249.56700000000001</v>
      </c>
      <c r="H38" s="50">
        <v>0.17599999999999999</v>
      </c>
      <c r="I38" s="50">
        <v>8.2000000000000003E-2</v>
      </c>
      <c r="J38" s="51">
        <v>0.26</v>
      </c>
      <c r="K38" s="51">
        <v>3.2000000000000001E-2</v>
      </c>
      <c r="L38" s="52">
        <v>0.30599999999999999</v>
      </c>
      <c r="M38" s="52">
        <v>0.03</v>
      </c>
      <c r="N38" s="53">
        <v>0.45600000000000002</v>
      </c>
      <c r="O38" s="53">
        <v>0.17799999999999999</v>
      </c>
      <c r="P38" s="54">
        <v>0.24</v>
      </c>
      <c r="Q38" s="35">
        <v>0.1</v>
      </c>
    </row>
    <row r="39" spans="1:17" ht="15.75" customHeight="1">
      <c r="A39" s="1" t="s">
        <v>12</v>
      </c>
      <c r="B39" s="47">
        <v>212.85900000000001</v>
      </c>
      <c r="C39" s="47">
        <v>204.56800000000001</v>
      </c>
      <c r="D39" s="48">
        <v>355.17200000000003</v>
      </c>
      <c r="E39" s="48">
        <v>322.32400000000001</v>
      </c>
      <c r="F39" s="49">
        <v>420.529</v>
      </c>
      <c r="G39" s="49">
        <v>279.07400000000001</v>
      </c>
      <c r="H39" s="50">
        <v>8.7999999999999995E-2</v>
      </c>
      <c r="I39" s="50">
        <v>8.3000000000000004E-2</v>
      </c>
      <c r="J39" s="51">
        <v>0.17499999999999999</v>
      </c>
      <c r="K39" s="51">
        <v>3.1E-2</v>
      </c>
      <c r="L39" s="52">
        <v>0.16200000000000001</v>
      </c>
      <c r="M39" s="52">
        <v>3.2000000000000001E-2</v>
      </c>
      <c r="N39" s="53">
        <v>0.25600000000000001</v>
      </c>
      <c r="O39" s="53">
        <v>0.17100000000000001</v>
      </c>
      <c r="P39" s="54">
        <v>0.15</v>
      </c>
      <c r="Q39" s="35">
        <v>0.1</v>
      </c>
    </row>
    <row r="40" spans="1:17" ht="15.75" customHeight="1">
      <c r="A40" s="1" t="s">
        <v>13</v>
      </c>
      <c r="B40" s="47">
        <v>288.71899999999999</v>
      </c>
      <c r="C40" s="47">
        <v>266.57799999999997</v>
      </c>
      <c r="D40" s="48">
        <v>727.38800000000003</v>
      </c>
      <c r="E40" s="48">
        <v>303.66199999999998</v>
      </c>
      <c r="F40" s="49">
        <v>560.25</v>
      </c>
      <c r="G40" s="49">
        <v>242.67599999999999</v>
      </c>
      <c r="H40" s="50">
        <v>0.11799999999999999</v>
      </c>
      <c r="I40" s="50">
        <v>8.1000000000000003E-2</v>
      </c>
      <c r="J40" s="51">
        <v>0.189</v>
      </c>
      <c r="K40" s="51">
        <v>3.5999999999999997E-2</v>
      </c>
      <c r="L40" s="52">
        <v>0.188</v>
      </c>
      <c r="M40" s="52">
        <v>3.2000000000000001E-2</v>
      </c>
      <c r="N40" s="53">
        <v>0.29799999999999999</v>
      </c>
      <c r="O40" s="53">
        <v>0.16900000000000001</v>
      </c>
      <c r="P40" s="54">
        <v>0.16300000000000001</v>
      </c>
      <c r="Q40" s="35">
        <v>0.1</v>
      </c>
    </row>
    <row r="41" spans="1:17" ht="15.75" customHeight="1">
      <c r="A41" s="1" t="s">
        <v>14</v>
      </c>
      <c r="B41" s="47">
        <f t="shared" ref="B41:Q41" si="7">AVERAGE(B38:B40)</f>
        <v>318.68166666666667</v>
      </c>
      <c r="C41" s="47">
        <f t="shared" si="7"/>
        <v>298.24466666666666</v>
      </c>
      <c r="D41" s="48">
        <f t="shared" si="7"/>
        <v>689.51633333333336</v>
      </c>
      <c r="E41" s="48">
        <f t="shared" si="7"/>
        <v>345.00366666666667</v>
      </c>
      <c r="F41" s="49">
        <f t="shared" si="7"/>
        <v>565.60466666666662</v>
      </c>
      <c r="G41" s="49">
        <f t="shared" si="7"/>
        <v>257.10566666666665</v>
      </c>
      <c r="H41" s="50">
        <f t="shared" si="7"/>
        <v>0.12733333333333333</v>
      </c>
      <c r="I41" s="50">
        <f t="shared" si="7"/>
        <v>8.2000000000000003E-2</v>
      </c>
      <c r="J41" s="51">
        <f t="shared" si="7"/>
        <v>0.20799999999999999</v>
      </c>
      <c r="K41" s="51">
        <f t="shared" si="7"/>
        <v>3.3000000000000002E-2</v>
      </c>
      <c r="L41" s="52">
        <f t="shared" si="7"/>
        <v>0.21866666666666665</v>
      </c>
      <c r="M41" s="52">
        <f t="shared" si="7"/>
        <v>3.1333333333333331E-2</v>
      </c>
      <c r="N41" s="53">
        <f t="shared" si="7"/>
        <v>0.33666666666666667</v>
      </c>
      <c r="O41" s="53">
        <f t="shared" si="7"/>
        <v>0.17266666666666666</v>
      </c>
      <c r="P41" s="54">
        <f t="shared" si="7"/>
        <v>0.18433333333333335</v>
      </c>
      <c r="Q41" s="35">
        <f t="shared" si="7"/>
        <v>0.10000000000000002</v>
      </c>
    </row>
    <row r="42" spans="1:17" ht="15.75" customHeight="1">
      <c r="A42" s="2">
        <v>10000000</v>
      </c>
      <c r="B42" s="55"/>
      <c r="C42" s="55"/>
      <c r="E42" s="55"/>
      <c r="F42" s="55"/>
      <c r="H42" s="15" t="s">
        <v>9</v>
      </c>
      <c r="I42" s="15" t="s">
        <v>10</v>
      </c>
      <c r="J42" s="16" t="s">
        <v>15</v>
      </c>
      <c r="K42" s="16" t="s">
        <v>16</v>
      </c>
      <c r="L42" s="17" t="s">
        <v>9</v>
      </c>
      <c r="M42" s="17" t="s">
        <v>10</v>
      </c>
      <c r="N42" s="18" t="s">
        <v>9</v>
      </c>
      <c r="O42" s="18" t="s">
        <v>10</v>
      </c>
      <c r="P42" s="19" t="s">
        <v>9</v>
      </c>
      <c r="Q42" s="19" t="s">
        <v>10</v>
      </c>
    </row>
    <row r="43" spans="1:17" ht="15.75" customHeight="1">
      <c r="A43" s="1" t="s">
        <v>11</v>
      </c>
      <c r="H43" s="15">
        <v>1.02</v>
      </c>
      <c r="I43" s="15">
        <v>3.0179999999999998</v>
      </c>
      <c r="J43" s="16">
        <v>1.1319999999999999</v>
      </c>
      <c r="K43" s="16">
        <v>0.55300000000000005</v>
      </c>
      <c r="L43" s="17">
        <v>1.784</v>
      </c>
      <c r="M43" s="17">
        <v>1.0269999999999999</v>
      </c>
      <c r="N43" s="18">
        <v>4.8280000000000003</v>
      </c>
      <c r="O43" s="18">
        <v>3.2909999999999999</v>
      </c>
      <c r="P43" s="19">
        <v>2.1549999999999998</v>
      </c>
      <c r="Q43" s="19">
        <v>1.9650000000000001</v>
      </c>
    </row>
    <row r="44" spans="1:17" ht="15.75" customHeight="1">
      <c r="A44" s="1" t="s">
        <v>12</v>
      </c>
      <c r="H44" s="15">
        <v>1.403</v>
      </c>
      <c r="I44" s="15">
        <v>3.1320000000000001</v>
      </c>
      <c r="J44" s="16">
        <v>2.41</v>
      </c>
      <c r="K44" s="16">
        <v>0.58499999999999996</v>
      </c>
      <c r="L44" s="17">
        <v>2.0219999999999998</v>
      </c>
      <c r="M44" s="17">
        <v>0.38600000000000001</v>
      </c>
      <c r="N44" s="18">
        <v>4.6909999999999998</v>
      </c>
      <c r="O44" s="18">
        <v>2.4009999999999998</v>
      </c>
      <c r="P44" s="19">
        <v>2.2730000000000001</v>
      </c>
      <c r="Q44" s="19">
        <v>1.1459999999999999</v>
      </c>
    </row>
    <row r="45" spans="1:17" ht="15.75" customHeight="1">
      <c r="A45" s="1" t="s">
        <v>13</v>
      </c>
      <c r="H45" s="15">
        <v>1.0069999999999999</v>
      </c>
      <c r="I45" s="15">
        <v>2.7919999999999998</v>
      </c>
      <c r="J45" s="16">
        <v>2.3130000000000002</v>
      </c>
      <c r="K45" s="16">
        <v>0.55000000000000004</v>
      </c>
      <c r="L45" s="17">
        <v>0.82199999999999995</v>
      </c>
      <c r="M45" s="17">
        <v>0.72099999999999997</v>
      </c>
      <c r="N45" s="18">
        <v>3.988</v>
      </c>
      <c r="O45" s="18">
        <v>3.9159999999999999</v>
      </c>
      <c r="P45" s="19">
        <v>2.2040000000000002</v>
      </c>
      <c r="Q45" s="19">
        <v>1.766</v>
      </c>
    </row>
    <row r="46" spans="1:17" ht="15.75" customHeight="1">
      <c r="A46" s="1" t="s">
        <v>14</v>
      </c>
      <c r="H46" s="56">
        <f t="shared" ref="H46:Q46" si="8">AVERAGE(H43:H45)</f>
        <v>1.1433333333333333</v>
      </c>
      <c r="I46" s="15">
        <f t="shared" si="8"/>
        <v>2.9806666666666666</v>
      </c>
      <c r="J46" s="16">
        <f t="shared" si="8"/>
        <v>1.9516666666666669</v>
      </c>
      <c r="K46" s="16">
        <f t="shared" si="8"/>
        <v>0.56266666666666665</v>
      </c>
      <c r="L46" s="17">
        <f t="shared" si="8"/>
        <v>1.5426666666666666</v>
      </c>
      <c r="M46" s="17">
        <f t="shared" si="8"/>
        <v>0.71133333333333326</v>
      </c>
      <c r="N46" s="18">
        <f t="shared" si="8"/>
        <v>4.5023333333333335</v>
      </c>
      <c r="O46" s="18">
        <f t="shared" si="8"/>
        <v>3.202666666666667</v>
      </c>
      <c r="P46" s="19">
        <f t="shared" si="8"/>
        <v>2.2106666666666666</v>
      </c>
      <c r="Q46" s="19">
        <f t="shared" si="8"/>
        <v>1.6256666666666666</v>
      </c>
    </row>
    <row r="47" spans="1:17" ht="15.75" customHeight="1">
      <c r="A47" s="2">
        <v>100000000</v>
      </c>
      <c r="B47" s="55"/>
      <c r="C47" s="55"/>
      <c r="E47" s="55"/>
      <c r="F47" s="55"/>
      <c r="H47" s="31" t="s">
        <v>9</v>
      </c>
      <c r="I47" s="31" t="s">
        <v>10</v>
      </c>
      <c r="J47" s="32" t="s">
        <v>15</v>
      </c>
      <c r="K47" s="32" t="s">
        <v>16</v>
      </c>
      <c r="L47" s="33" t="s">
        <v>9</v>
      </c>
      <c r="M47" s="33" t="s">
        <v>10</v>
      </c>
      <c r="N47" s="34" t="s">
        <v>9</v>
      </c>
      <c r="O47" s="34" t="s">
        <v>10</v>
      </c>
      <c r="P47" s="35" t="s">
        <v>9</v>
      </c>
      <c r="Q47" s="35" t="s">
        <v>10</v>
      </c>
    </row>
    <row r="48" spans="1:17" ht="15.75" customHeight="1">
      <c r="A48" s="1" t="s">
        <v>11</v>
      </c>
      <c r="H48" s="31">
        <v>16.478999999999999</v>
      </c>
      <c r="I48" s="31">
        <v>176.72200000000001</v>
      </c>
      <c r="J48" s="32">
        <v>29.727</v>
      </c>
      <c r="K48" s="32">
        <v>3.03</v>
      </c>
      <c r="L48" s="33">
        <v>19.084</v>
      </c>
      <c r="M48" s="33">
        <v>3.2509999999999999</v>
      </c>
      <c r="N48" s="34">
        <v>74.926000000000002</v>
      </c>
      <c r="O48" s="34">
        <v>62.819000000000003</v>
      </c>
      <c r="P48" s="35">
        <v>20.898</v>
      </c>
      <c r="Q48" s="35">
        <v>20.178000000000001</v>
      </c>
    </row>
    <row r="49" spans="1:17" ht="15.75" customHeight="1">
      <c r="A49" s="1" t="s">
        <v>12</v>
      </c>
      <c r="H49" s="31">
        <v>16.439</v>
      </c>
      <c r="I49" s="31">
        <v>178.55099999999999</v>
      </c>
      <c r="J49" s="32">
        <v>29.44</v>
      </c>
      <c r="K49" s="32">
        <v>4.2750000000000004</v>
      </c>
      <c r="L49" s="33">
        <v>18.824000000000002</v>
      </c>
      <c r="M49" s="33">
        <v>6.9889999999999999</v>
      </c>
      <c r="N49" s="34">
        <v>68.433000000000007</v>
      </c>
      <c r="O49" s="34">
        <v>38.601999999999997</v>
      </c>
      <c r="P49" s="35">
        <v>15.465</v>
      </c>
      <c r="Q49" s="35">
        <v>11.657999999999999</v>
      </c>
    </row>
    <row r="50" spans="1:17" ht="15.75" customHeight="1">
      <c r="A50" s="1" t="s">
        <v>13</v>
      </c>
      <c r="H50" s="31">
        <v>16.141999999999999</v>
      </c>
      <c r="I50" s="31">
        <v>199.815</v>
      </c>
      <c r="J50" s="32">
        <v>30.265000000000001</v>
      </c>
      <c r="K50" s="32">
        <v>5.9450000000000003</v>
      </c>
      <c r="L50" s="33">
        <v>19.907</v>
      </c>
      <c r="M50" s="33">
        <v>7.4059999999999997</v>
      </c>
      <c r="N50" s="34">
        <v>58.996000000000002</v>
      </c>
      <c r="O50" s="34">
        <v>55.581000000000003</v>
      </c>
      <c r="P50" s="35">
        <v>24.763999999999999</v>
      </c>
      <c r="Q50" s="35">
        <v>20.425000000000001</v>
      </c>
    </row>
    <row r="51" spans="1:17" ht="15.75" customHeight="1">
      <c r="A51" s="1" t="s">
        <v>14</v>
      </c>
      <c r="H51" s="31">
        <f t="shared" ref="H51:Q51" si="9">AVERAGE(H48:H50)</f>
        <v>16.353333333333335</v>
      </c>
      <c r="I51" s="57">
        <f t="shared" si="9"/>
        <v>185.02933333333331</v>
      </c>
      <c r="J51" s="32">
        <f t="shared" si="9"/>
        <v>29.810666666666666</v>
      </c>
      <c r="K51" s="32">
        <f t="shared" si="9"/>
        <v>4.416666666666667</v>
      </c>
      <c r="L51" s="33">
        <f t="shared" si="9"/>
        <v>19.271666666666665</v>
      </c>
      <c r="M51" s="58">
        <f t="shared" si="9"/>
        <v>5.8820000000000006</v>
      </c>
      <c r="N51" s="34">
        <f t="shared" si="9"/>
        <v>67.451666666666668</v>
      </c>
      <c r="O51" s="53">
        <f t="shared" si="9"/>
        <v>52.334000000000003</v>
      </c>
      <c r="P51" s="35">
        <f t="shared" si="9"/>
        <v>20.375666666666664</v>
      </c>
      <c r="Q51" s="35">
        <f t="shared" si="9"/>
        <v>17.420333333333332</v>
      </c>
    </row>
    <row r="52" spans="1:17" ht="15.75" customHeight="1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</row>
    <row r="53" spans="1:17" ht="15.75" customHeight="1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 spans="1:17" ht="15.75" customHeight="1"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</row>
    <row r="55" spans="1:17" ht="15.75" customHeight="1"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</row>
    <row r="56" spans="1:17" ht="15.75" customHeight="1"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</row>
    <row r="57" spans="1:17" ht="15.75" customHeight="1"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</row>
    <row r="58" spans="1:17" ht="15.75" customHeight="1"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</row>
    <row r="59" spans="1:17" ht="15.75" customHeight="1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</row>
    <row r="60" spans="1:17" ht="15.75" customHeight="1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</row>
    <row r="61" spans="1:17" ht="15.75" customHeight="1"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</row>
    <row r="62" spans="1:17" ht="15.75" customHeight="1"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</row>
    <row r="63" spans="1:17" ht="15.75" customHeight="1"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</row>
    <row r="64" spans="1:17" ht="15.75" customHeight="1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</row>
    <row r="65" spans="2:16" ht="15.75" customHeight="1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</row>
    <row r="66" spans="2:16" ht="15.75" customHeight="1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</row>
    <row r="67" spans="2:16" ht="15.75" customHeight="1"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</row>
    <row r="68" spans="2:16" ht="15.75" customHeight="1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</row>
    <row r="69" spans="2:16" ht="15.75" customHeight="1"/>
    <row r="70" spans="2:16" ht="15.75" customHeight="1"/>
    <row r="71" spans="2:16" ht="15.75" customHeight="1"/>
    <row r="72" spans="2:16" ht="15.75" customHeight="1"/>
    <row r="73" spans="2:16" ht="15.75" customHeight="1"/>
    <row r="74" spans="2:16" ht="15.75" customHeight="1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</row>
    <row r="75" spans="2:16" ht="15.75" customHeight="1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</row>
    <row r="76" spans="2:16" ht="15.75" customHeight="1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</row>
    <row r="77" spans="2:16" ht="15.75" customHeight="1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</row>
    <row r="78" spans="2:16" ht="15.75" customHeight="1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</row>
    <row r="79" spans="2:16" ht="15.75" customHeight="1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</row>
    <row r="80" spans="2:16" ht="15.75" customHeight="1"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</row>
    <row r="81" spans="2:16" ht="15.75" customHeight="1"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</row>
    <row r="82" spans="2:16" ht="15.75" customHeight="1"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</row>
    <row r="83" spans="2:16" ht="15.75" customHeight="1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</row>
    <row r="84" spans="2:16" ht="15.75" customHeight="1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</row>
    <row r="85" spans="2:16" ht="15.75" customHeight="1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</row>
    <row r="86" spans="2:16" ht="15.75" customHeight="1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</row>
    <row r="87" spans="2:16" ht="15.75" customHeight="1"/>
    <row r="88" spans="2:16" ht="15.75" customHeight="1"/>
    <row r="89" spans="2:16" ht="15.75" customHeight="1"/>
    <row r="90" spans="2:16" ht="15.75" customHeight="1"/>
    <row r="91" spans="2:16" ht="15.75" customHeight="1"/>
    <row r="92" spans="2:16" ht="15.75" customHeight="1"/>
    <row r="93" spans="2:16" ht="15.75" customHeight="1"/>
    <row r="94" spans="2:16" ht="15.75" customHeight="1"/>
    <row r="95" spans="2:16" ht="15.75" customHeight="1"/>
    <row r="96" spans="2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L1:M1"/>
    <mergeCell ref="N1:O1"/>
    <mergeCell ref="P1:Q1"/>
    <mergeCell ref="B1:C1"/>
    <mergeCell ref="D1:E1"/>
    <mergeCell ref="F1:G1"/>
    <mergeCell ref="H1:I1"/>
    <mergeCell ref="J1:K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/>
  </sheetViews>
  <sheetFormatPr defaultColWidth="12.6328125" defaultRowHeight="15" customHeight="1"/>
  <cols>
    <col min="1" max="1" width="14.7265625" customWidth="1"/>
    <col min="2" max="6" width="12.6328125" customWidth="1"/>
  </cols>
  <sheetData>
    <row r="1" spans="1:9" ht="15.75" customHeight="1">
      <c r="A1" s="1" t="s">
        <v>17</v>
      </c>
      <c r="B1" s="60" t="s">
        <v>1</v>
      </c>
      <c r="C1" s="61" t="s">
        <v>2</v>
      </c>
      <c r="D1" s="62" t="s">
        <v>3</v>
      </c>
      <c r="E1" s="63" t="s">
        <v>4</v>
      </c>
      <c r="F1" s="64" t="s">
        <v>5</v>
      </c>
      <c r="G1" s="65" t="s">
        <v>6</v>
      </c>
      <c r="H1" s="66" t="s">
        <v>7</v>
      </c>
      <c r="I1" s="67" t="s">
        <v>8</v>
      </c>
    </row>
    <row r="2" spans="1:9" ht="15.75" customHeight="1">
      <c r="A2" s="2">
        <v>10</v>
      </c>
    </row>
    <row r="3" spans="1:9" ht="15.75" customHeight="1">
      <c r="A3" s="1" t="s">
        <v>18</v>
      </c>
      <c r="B3" s="68">
        <v>1E-3</v>
      </c>
      <c r="C3" s="69">
        <v>1E-3</v>
      </c>
      <c r="D3" s="70">
        <v>1E-3</v>
      </c>
      <c r="E3" s="71">
        <v>1E-3</v>
      </c>
      <c r="F3" s="72">
        <v>1E-3</v>
      </c>
      <c r="G3" s="73">
        <v>1E-3</v>
      </c>
      <c r="H3" s="74">
        <v>1E-3</v>
      </c>
      <c r="I3" s="75">
        <v>1E-3</v>
      </c>
    </row>
    <row r="4" spans="1:9" ht="15.75" customHeight="1">
      <c r="A4" s="1" t="s">
        <v>19</v>
      </c>
      <c r="B4" s="68">
        <v>1.2999999999999999E-2</v>
      </c>
      <c r="C4" s="69">
        <v>1E-3</v>
      </c>
      <c r="D4" s="70">
        <v>2E-3</v>
      </c>
      <c r="E4" s="71">
        <v>1E-3</v>
      </c>
      <c r="F4" s="72">
        <v>2E-3</v>
      </c>
      <c r="G4" s="73">
        <v>1E-3</v>
      </c>
      <c r="H4" s="74">
        <v>1E-3</v>
      </c>
      <c r="I4" s="75">
        <v>1E-3</v>
      </c>
    </row>
    <row r="5" spans="1:9" ht="15.75" customHeight="1">
      <c r="A5" s="1" t="s">
        <v>20</v>
      </c>
      <c r="B5" s="68">
        <v>2.3E-2</v>
      </c>
      <c r="C5" s="69">
        <v>3.0000000000000001E-3</v>
      </c>
      <c r="D5" s="70">
        <v>3.0000000000000001E-3</v>
      </c>
      <c r="E5" s="71">
        <v>5.0000000000000001E-3</v>
      </c>
      <c r="F5" s="72">
        <v>5.0000000000000001E-3</v>
      </c>
      <c r="G5" s="73">
        <v>3.0000000000000001E-3</v>
      </c>
      <c r="H5" s="74">
        <v>2E-3</v>
      </c>
      <c r="I5" s="75">
        <v>2E-3</v>
      </c>
    </row>
    <row r="6" spans="1:9" ht="15.75" customHeight="1">
      <c r="A6" s="1" t="s">
        <v>21</v>
      </c>
      <c r="B6" s="68">
        <v>0.214</v>
      </c>
      <c r="C6" s="69">
        <v>1.4999999999999999E-2</v>
      </c>
      <c r="D6" s="70">
        <v>1.9E-2</v>
      </c>
      <c r="E6" s="71">
        <v>1.2999999999999999E-2</v>
      </c>
      <c r="F6" s="72">
        <v>1.2999999999999999E-2</v>
      </c>
      <c r="G6" s="73">
        <v>1.0999999999999999E-2</v>
      </c>
      <c r="H6" s="74">
        <v>1.0999999999999999E-2</v>
      </c>
      <c r="I6" s="75">
        <v>1.0999999999999999E-2</v>
      </c>
    </row>
    <row r="7" spans="1:9" ht="15.75" customHeight="1">
      <c r="A7" s="2">
        <v>20</v>
      </c>
      <c r="B7" s="76"/>
      <c r="C7" s="76"/>
      <c r="D7" s="76"/>
      <c r="E7" s="76"/>
      <c r="F7" s="76"/>
      <c r="G7" s="76"/>
      <c r="H7" s="76"/>
      <c r="I7" s="76"/>
    </row>
    <row r="8" spans="1:9" ht="15.75" customHeight="1">
      <c r="A8" s="1" t="s">
        <v>18</v>
      </c>
      <c r="B8" s="47">
        <v>2.1999999999999999E-2</v>
      </c>
      <c r="C8" s="48">
        <v>2E-3</v>
      </c>
      <c r="D8" s="49">
        <v>2E-3</v>
      </c>
      <c r="E8" s="50">
        <v>3.0000000000000001E-3</v>
      </c>
      <c r="F8" s="51">
        <v>2E-3</v>
      </c>
      <c r="G8" s="52">
        <v>3.0000000000000001E-3</v>
      </c>
      <c r="H8" s="53">
        <v>2E-3</v>
      </c>
      <c r="I8" s="54">
        <v>2E-3</v>
      </c>
    </row>
    <row r="9" spans="1:9" ht="15.75" customHeight="1">
      <c r="A9" s="1" t="s">
        <v>19</v>
      </c>
      <c r="B9" s="47">
        <v>2.8000000000000001E-2</v>
      </c>
      <c r="C9" s="48">
        <v>4.0000000000000001E-3</v>
      </c>
      <c r="D9" s="49">
        <v>4.0000000000000001E-3</v>
      </c>
      <c r="E9" s="50">
        <v>4.0000000000000001E-3</v>
      </c>
      <c r="F9" s="51">
        <v>3.0000000000000001E-3</v>
      </c>
      <c r="G9" s="52">
        <v>3.0000000000000001E-3</v>
      </c>
      <c r="H9" s="53">
        <v>4.0000000000000001E-3</v>
      </c>
      <c r="I9" s="54">
        <v>3.0000000000000001E-3</v>
      </c>
    </row>
    <row r="10" spans="1:9" ht="15.75" customHeight="1">
      <c r="A10" s="1" t="s">
        <v>20</v>
      </c>
      <c r="B10" s="47">
        <v>3.2000000000000001E-2</v>
      </c>
      <c r="C10" s="48">
        <v>4.0000000000000001E-3</v>
      </c>
      <c r="D10" s="49">
        <v>7.0000000000000001E-3</v>
      </c>
      <c r="E10" s="50">
        <v>4.0000000000000001E-3</v>
      </c>
      <c r="F10" s="51">
        <v>4.0000000000000001E-3</v>
      </c>
      <c r="G10" s="52">
        <v>5.0000000000000001E-3</v>
      </c>
      <c r="H10" s="53">
        <v>4.0000000000000001E-3</v>
      </c>
      <c r="I10" s="54">
        <v>4.0000000000000001E-3</v>
      </c>
    </row>
    <row r="11" spans="1:9" ht="15.75" customHeight="1">
      <c r="A11" s="1" t="s">
        <v>21</v>
      </c>
      <c r="B11" s="47">
        <v>0.14599999999999999</v>
      </c>
      <c r="C11" s="48">
        <v>3.1E-2</v>
      </c>
      <c r="D11" s="49">
        <v>3.5999999999999997E-2</v>
      </c>
      <c r="E11" s="50">
        <v>3.1E-2</v>
      </c>
      <c r="F11" s="51">
        <v>2.3E-2</v>
      </c>
      <c r="G11" s="52">
        <v>0.02</v>
      </c>
      <c r="H11" s="53">
        <v>2.1000000000000001E-2</v>
      </c>
      <c r="I11" s="54">
        <v>2.1999999999999999E-2</v>
      </c>
    </row>
    <row r="12" spans="1:9" ht="15.75" customHeight="1">
      <c r="A12" s="2">
        <v>50</v>
      </c>
      <c r="B12" s="76"/>
      <c r="C12" s="76"/>
      <c r="D12" s="76"/>
      <c r="E12" s="76"/>
      <c r="F12" s="76"/>
      <c r="G12" s="76"/>
      <c r="H12" s="76"/>
      <c r="I12" s="76"/>
    </row>
    <row r="13" spans="1:9" ht="15.75" customHeight="1">
      <c r="A13" s="1" t="s">
        <v>18</v>
      </c>
      <c r="B13" s="68">
        <v>2.1999999999999999E-2</v>
      </c>
      <c r="C13" s="69">
        <v>1.0999999999999999E-2</v>
      </c>
      <c r="D13" s="70">
        <v>1.2E-2</v>
      </c>
      <c r="E13" s="71">
        <v>8.9999999999999993E-3</v>
      </c>
      <c r="F13" s="72">
        <v>8.9999999999999993E-3</v>
      </c>
      <c r="G13" s="73">
        <v>8.0000000000000002E-3</v>
      </c>
      <c r="H13" s="74">
        <v>8.0000000000000002E-3</v>
      </c>
      <c r="I13" s="75">
        <v>8.9999999999999993E-3</v>
      </c>
    </row>
    <row r="14" spans="1:9" ht="15.75" customHeight="1">
      <c r="A14" s="1" t="s">
        <v>19</v>
      </c>
      <c r="B14" s="68">
        <v>4.8000000000000001E-2</v>
      </c>
      <c r="C14" s="69">
        <v>1.2E-2</v>
      </c>
      <c r="D14" s="70">
        <v>0.01</v>
      </c>
      <c r="E14" s="71">
        <v>8.0000000000000002E-3</v>
      </c>
      <c r="F14" s="72">
        <v>7.0000000000000001E-3</v>
      </c>
      <c r="G14" s="73">
        <v>7.0000000000000001E-3</v>
      </c>
      <c r="H14" s="74">
        <v>6.0000000000000001E-3</v>
      </c>
      <c r="I14" s="75">
        <v>6.0000000000000001E-3</v>
      </c>
    </row>
    <row r="15" spans="1:9" ht="15.75" customHeight="1">
      <c r="A15" s="1" t="s">
        <v>20</v>
      </c>
      <c r="B15" s="68">
        <v>2.1999999999999999E-2</v>
      </c>
      <c r="C15" s="69">
        <v>1.0999999999999999E-2</v>
      </c>
      <c r="D15" s="70">
        <v>8.0000000000000002E-3</v>
      </c>
      <c r="E15" s="71">
        <v>1.0999999999999999E-2</v>
      </c>
      <c r="F15" s="72">
        <v>1.0999999999999999E-2</v>
      </c>
      <c r="G15" s="73">
        <v>0.09</v>
      </c>
      <c r="H15" s="74">
        <v>0.01</v>
      </c>
      <c r="I15" s="75">
        <v>8.0000000000000002E-3</v>
      </c>
    </row>
    <row r="16" spans="1:9" ht="15.75" customHeight="1">
      <c r="A16" s="1" t="s">
        <v>21</v>
      </c>
      <c r="B16" s="68">
        <v>0.128</v>
      </c>
      <c r="C16" s="69">
        <v>6.8000000000000005E-2</v>
      </c>
      <c r="D16" s="70">
        <v>6.3E-2</v>
      </c>
      <c r="E16" s="71">
        <v>0.05</v>
      </c>
      <c r="F16" s="72">
        <v>5.3999999999999999E-2</v>
      </c>
      <c r="G16" s="73">
        <v>5.1999999999999998E-2</v>
      </c>
      <c r="H16" s="74">
        <v>5.0999999999999997E-2</v>
      </c>
      <c r="I16" s="75">
        <v>0.05</v>
      </c>
    </row>
    <row r="17" spans="1:9" ht="15.75" customHeight="1">
      <c r="A17" s="2">
        <v>100</v>
      </c>
      <c r="B17" s="76"/>
      <c r="C17" s="76"/>
      <c r="D17" s="76"/>
      <c r="E17" s="76"/>
      <c r="F17" s="76"/>
      <c r="G17" s="76"/>
      <c r="H17" s="76"/>
      <c r="I17" s="76"/>
    </row>
    <row r="18" spans="1:9" ht="15.75" customHeight="1">
      <c r="A18" s="1" t="s">
        <v>18</v>
      </c>
      <c r="B18" s="47">
        <v>3.5000000000000003E-2</v>
      </c>
      <c r="C18" s="48">
        <v>2.7E-2</v>
      </c>
      <c r="D18" s="49">
        <v>1.4999999999999999E-2</v>
      </c>
      <c r="E18" s="50">
        <v>1.6E-2</v>
      </c>
      <c r="F18" s="51">
        <v>1.4999999999999999E-2</v>
      </c>
      <c r="G18" s="52">
        <v>1.9E-2</v>
      </c>
      <c r="H18" s="53">
        <v>1.6E-2</v>
      </c>
      <c r="I18" s="54">
        <v>1.6E-2</v>
      </c>
    </row>
    <row r="19" spans="1:9" ht="15.75" customHeight="1">
      <c r="A19" s="1" t="s">
        <v>19</v>
      </c>
      <c r="B19" s="47">
        <v>0.124</v>
      </c>
      <c r="C19" s="48">
        <v>1.4E-2</v>
      </c>
      <c r="D19" s="49">
        <v>1.4E-2</v>
      </c>
      <c r="E19" s="50">
        <v>1.6E-2</v>
      </c>
      <c r="F19" s="51">
        <v>1.4999999999999999E-2</v>
      </c>
      <c r="G19" s="52">
        <v>1.4E-2</v>
      </c>
      <c r="H19" s="53">
        <v>1.2999999999999999E-2</v>
      </c>
      <c r="I19" s="54">
        <v>1.2999999999999999E-2</v>
      </c>
    </row>
    <row r="20" spans="1:9" ht="15.75" customHeight="1">
      <c r="A20" s="1" t="s">
        <v>20</v>
      </c>
      <c r="B20" s="47">
        <v>8.4000000000000005E-2</v>
      </c>
      <c r="C20" s="48">
        <v>0.02</v>
      </c>
      <c r="D20" s="49">
        <v>1.7000000000000001E-2</v>
      </c>
      <c r="E20" s="50">
        <v>1.7999999999999999E-2</v>
      </c>
      <c r="F20" s="51">
        <v>1.9E-2</v>
      </c>
      <c r="G20" s="52">
        <v>1.9E-2</v>
      </c>
      <c r="H20" s="53">
        <v>0.02</v>
      </c>
      <c r="I20" s="54">
        <v>1.7999999999999999E-2</v>
      </c>
    </row>
    <row r="21" spans="1:9" ht="15.75" customHeight="1">
      <c r="A21" s="1" t="s">
        <v>21</v>
      </c>
      <c r="B21" s="47">
        <v>0.27</v>
      </c>
      <c r="C21" s="48">
        <v>0.13</v>
      </c>
      <c r="D21" s="49">
        <v>0.12</v>
      </c>
      <c r="E21" s="50">
        <v>0.126</v>
      </c>
      <c r="F21" s="51">
        <v>0.108</v>
      </c>
      <c r="G21" s="52">
        <v>9.6000000000000002E-2</v>
      </c>
      <c r="H21" s="53">
        <v>0.10199999999999999</v>
      </c>
      <c r="I21" s="54">
        <v>9.6000000000000002E-2</v>
      </c>
    </row>
    <row r="22" spans="1:9" ht="15.75" customHeight="1">
      <c r="A22" s="2">
        <v>1000</v>
      </c>
      <c r="B22" s="76"/>
      <c r="C22" s="76"/>
      <c r="D22" s="76"/>
      <c r="E22" s="76"/>
      <c r="F22" s="76"/>
      <c r="G22" s="76"/>
      <c r="H22" s="76"/>
      <c r="I22" s="76"/>
    </row>
    <row r="23" spans="1:9" ht="15.75" customHeight="1">
      <c r="A23" s="1" t="s">
        <v>18</v>
      </c>
      <c r="B23" s="47">
        <v>0.23</v>
      </c>
      <c r="C23" s="48">
        <v>0.40400000000000003</v>
      </c>
      <c r="D23" s="49">
        <v>0.25</v>
      </c>
      <c r="E23" s="50">
        <v>0.19900000000000001</v>
      </c>
      <c r="F23" s="51">
        <v>0.186</v>
      </c>
      <c r="G23" s="52">
        <v>0.189</v>
      </c>
      <c r="H23" s="53">
        <v>0.18099999999999999</v>
      </c>
      <c r="I23" s="54">
        <v>0.17299999999999999</v>
      </c>
    </row>
    <row r="24" spans="1:9" ht="15.75" customHeight="1">
      <c r="A24" s="1" t="s">
        <v>19</v>
      </c>
      <c r="B24" s="47">
        <v>0.877</v>
      </c>
      <c r="C24" s="48">
        <v>0.74199999999999999</v>
      </c>
      <c r="D24" s="49">
        <v>0.27500000000000002</v>
      </c>
      <c r="E24" s="50">
        <v>0.16600000000000001</v>
      </c>
      <c r="F24" s="51">
        <v>0.2</v>
      </c>
      <c r="G24" s="52">
        <v>0.155</v>
      </c>
      <c r="H24" s="53">
        <v>0.17199999999999999</v>
      </c>
      <c r="I24" s="54">
        <v>0.17899999999999999</v>
      </c>
    </row>
    <row r="25" spans="1:9" ht="15.75" customHeight="1">
      <c r="A25" s="1" t="s">
        <v>20</v>
      </c>
      <c r="B25" s="47">
        <v>1.0760000000000001</v>
      </c>
      <c r="C25" s="48">
        <v>0.74399999999999999</v>
      </c>
      <c r="D25" s="49">
        <v>0.26400000000000001</v>
      </c>
      <c r="E25" s="50">
        <v>0.22600000000000001</v>
      </c>
      <c r="F25" s="51">
        <v>0.20200000000000001</v>
      </c>
      <c r="G25" s="52">
        <v>0.22700000000000001</v>
      </c>
      <c r="H25" s="53">
        <v>0.20599999999999999</v>
      </c>
      <c r="I25" s="54">
        <v>0.21</v>
      </c>
    </row>
    <row r="26" spans="1:9" ht="15.75" customHeight="1">
      <c r="A26" s="1" t="s">
        <v>21</v>
      </c>
      <c r="B26" s="47">
        <v>1.752</v>
      </c>
      <c r="C26" s="48">
        <v>1.3460000000000001</v>
      </c>
      <c r="D26" s="77">
        <v>1.81</v>
      </c>
      <c r="E26" s="78">
        <v>1.99</v>
      </c>
      <c r="F26" s="51">
        <v>1.8859999999999999</v>
      </c>
      <c r="G26" s="52">
        <v>1.8859999999999999</v>
      </c>
      <c r="H26" s="53">
        <v>1.9910000000000001</v>
      </c>
      <c r="I26" s="54">
        <v>1.841</v>
      </c>
    </row>
    <row r="27" spans="1:9" ht="15.75" customHeight="1">
      <c r="A27" s="2">
        <v>10000</v>
      </c>
      <c r="B27" s="76"/>
      <c r="C27" s="76"/>
      <c r="D27" s="76"/>
      <c r="E27" s="76"/>
      <c r="F27" s="76"/>
      <c r="G27" s="76"/>
      <c r="H27" s="76"/>
      <c r="I27" s="76"/>
    </row>
    <row r="28" spans="1:9" ht="15.75" customHeight="1">
      <c r="A28" s="1" t="s">
        <v>18</v>
      </c>
      <c r="B28" s="47">
        <v>6.452</v>
      </c>
      <c r="C28" s="48">
        <v>5.9989999999999997</v>
      </c>
      <c r="D28" s="49">
        <v>5.5670000000000002</v>
      </c>
      <c r="E28" s="50">
        <v>5.2690000000000001</v>
      </c>
      <c r="F28" s="79">
        <v>5.89</v>
      </c>
      <c r="G28" s="52">
        <v>5.6619999999999999</v>
      </c>
      <c r="H28" s="53">
        <v>5.1029999999999998</v>
      </c>
      <c r="I28" s="54">
        <v>5.5449999999999999</v>
      </c>
    </row>
    <row r="29" spans="1:9" ht="15.75" customHeight="1">
      <c r="A29" s="1" t="s">
        <v>19</v>
      </c>
      <c r="B29" s="47">
        <v>8.6340000000000003</v>
      </c>
      <c r="C29" s="48">
        <v>7.9340000000000002</v>
      </c>
      <c r="D29" s="49">
        <v>8.6389999999999993</v>
      </c>
      <c r="E29" s="50">
        <v>8.0419999999999998</v>
      </c>
      <c r="F29" s="51">
        <v>8.1839999999999993</v>
      </c>
      <c r="G29" s="52">
        <v>8.6140000000000008</v>
      </c>
      <c r="H29" s="53">
        <v>7.4809999999999999</v>
      </c>
      <c r="I29" s="54">
        <v>7.7249999999999996</v>
      </c>
    </row>
    <row r="30" spans="1:9" ht="15.75" customHeight="1">
      <c r="A30" s="1" t="s">
        <v>20</v>
      </c>
      <c r="B30" s="47">
        <v>10.96</v>
      </c>
      <c r="C30" s="48">
        <v>9.9550000000000001</v>
      </c>
      <c r="D30" s="49">
        <v>10.315</v>
      </c>
      <c r="E30" s="50">
        <v>9.8219999999999992</v>
      </c>
      <c r="F30" s="51">
        <v>9.65</v>
      </c>
      <c r="G30" s="52">
        <v>9.2469999999999999</v>
      </c>
      <c r="H30" s="53">
        <v>9.4339999999999993</v>
      </c>
      <c r="I30" s="54">
        <v>9.8209999999999997</v>
      </c>
    </row>
    <row r="31" spans="1:9" ht="15.75" customHeight="1">
      <c r="A31" s="1" t="s">
        <v>21</v>
      </c>
      <c r="B31" s="47">
        <v>20.143000000000001</v>
      </c>
      <c r="C31" s="48">
        <v>20.565000000000001</v>
      </c>
      <c r="D31" s="49">
        <v>19.506</v>
      </c>
      <c r="E31" s="50">
        <v>17.704999999999998</v>
      </c>
      <c r="F31" s="51">
        <v>17.565000000000001</v>
      </c>
      <c r="G31" s="52">
        <v>17.797999999999998</v>
      </c>
      <c r="H31" s="53">
        <v>17.509</v>
      </c>
      <c r="I31" s="54">
        <v>17.762</v>
      </c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>
      <selection activeCell="C10" sqref="C10"/>
    </sheetView>
  </sheetViews>
  <sheetFormatPr defaultColWidth="12.6328125" defaultRowHeight="15" customHeight="1"/>
  <cols>
    <col min="1" max="1" width="16.08984375" customWidth="1"/>
    <col min="2" max="6" width="12.6328125" customWidth="1"/>
  </cols>
  <sheetData>
    <row r="1" spans="1:9" ht="15.75" customHeight="1">
      <c r="A1" s="80" t="s">
        <v>22</v>
      </c>
      <c r="B1" s="81" t="s">
        <v>1</v>
      </c>
      <c r="C1" s="61" t="s">
        <v>2</v>
      </c>
      <c r="D1" s="62" t="s">
        <v>3</v>
      </c>
      <c r="E1" s="63" t="s">
        <v>4</v>
      </c>
      <c r="F1" s="64" t="s">
        <v>5</v>
      </c>
      <c r="G1" s="65" t="s">
        <v>6</v>
      </c>
      <c r="H1" s="66" t="s">
        <v>7</v>
      </c>
      <c r="I1" s="67" t="s">
        <v>8</v>
      </c>
    </row>
    <row r="2" spans="1:9" ht="15.75" customHeight="1">
      <c r="A2" s="1">
        <v>10</v>
      </c>
      <c r="B2" s="82">
        <v>2.9999999999999999E-7</v>
      </c>
      <c r="C2" s="83">
        <v>2.9999999999999999E-7</v>
      </c>
      <c r="D2" s="84">
        <v>2.9999999999999999E-7</v>
      </c>
      <c r="E2" s="85">
        <v>9.9999999999999995E-7</v>
      </c>
      <c r="F2" s="86">
        <v>1.0899999999999999E-6</v>
      </c>
      <c r="G2" s="87">
        <v>5.9000000000000003E-6</v>
      </c>
      <c r="H2" s="88">
        <v>9.9999999999999995E-7</v>
      </c>
      <c r="I2" s="89">
        <v>1.9999999999999999E-7</v>
      </c>
    </row>
    <row r="3" spans="1:9" ht="15.75" customHeight="1">
      <c r="A3" s="1">
        <v>20</v>
      </c>
      <c r="B3" s="82">
        <v>2.9999999999999999E-7</v>
      </c>
      <c r="C3" s="83">
        <v>5.9999999999999997E-7</v>
      </c>
      <c r="D3" s="84">
        <v>4.9999999999999998E-7</v>
      </c>
      <c r="E3" s="85">
        <v>9.9999999999999995E-7</v>
      </c>
      <c r="F3" s="90">
        <v>8.8000000000000004E-6</v>
      </c>
      <c r="G3" s="87">
        <v>9.7999999999999993E-6</v>
      </c>
      <c r="H3" s="91">
        <v>1.3999999999999999E-6</v>
      </c>
      <c r="I3" s="89">
        <v>2.9999999999999999E-7</v>
      </c>
    </row>
    <row r="4" spans="1:9" ht="15.75" customHeight="1">
      <c r="A4" s="1">
        <v>50</v>
      </c>
      <c r="B4" s="82">
        <v>2.9999999999999999E-7</v>
      </c>
      <c r="C4" s="83">
        <v>2.7E-6</v>
      </c>
      <c r="D4" s="84">
        <v>1.9E-6</v>
      </c>
      <c r="E4" s="92">
        <v>2.0999999999999998E-6</v>
      </c>
      <c r="F4" s="93">
        <v>1.5999999999999999E-5</v>
      </c>
      <c r="G4" s="87">
        <v>2.0699999999999998E-5</v>
      </c>
      <c r="H4" s="91">
        <v>4.6999999999999999E-6</v>
      </c>
      <c r="I4" s="89">
        <v>2.6000000000000001E-6</v>
      </c>
    </row>
    <row r="5" spans="1:9" ht="15.75" customHeight="1">
      <c r="A5" s="1">
        <v>100</v>
      </c>
      <c r="B5" s="82">
        <v>4.9999999999999998E-7</v>
      </c>
      <c r="C5" s="83">
        <v>9.3999999999999998E-6</v>
      </c>
      <c r="D5" s="84">
        <v>6.6000000000000003E-6</v>
      </c>
      <c r="E5" s="92">
        <v>3.4999999999999999E-6</v>
      </c>
      <c r="F5" s="90">
        <v>2.4600000000000002E-5</v>
      </c>
      <c r="G5" s="94">
        <v>3.4E-5</v>
      </c>
      <c r="H5" s="91">
        <v>8.4999999999999999E-6</v>
      </c>
      <c r="I5" s="89">
        <v>4.8999999999999997E-6</v>
      </c>
    </row>
    <row r="6" spans="1:9" ht="15.75" customHeight="1">
      <c r="A6" s="1">
        <v>1000</v>
      </c>
      <c r="B6" s="82">
        <v>3.4999999999999999E-6</v>
      </c>
      <c r="C6" s="83">
        <v>1.0503000000000001E-3</v>
      </c>
      <c r="D6" s="84">
        <v>8.3449999999999996E-4</v>
      </c>
      <c r="E6" s="92">
        <v>3.4700000000000003E-5</v>
      </c>
      <c r="F6" s="90">
        <v>4.5419999999999998E-4</v>
      </c>
      <c r="G6" s="87">
        <v>2.5980000000000003E-4</v>
      </c>
      <c r="H6" s="91">
        <v>2.2709999999999999E-4</v>
      </c>
      <c r="I6" s="95">
        <v>7.7999999999999999E-5</v>
      </c>
    </row>
    <row r="7" spans="1:9" ht="15.75" customHeight="1">
      <c r="A7" s="1">
        <v>10000</v>
      </c>
      <c r="B7" s="82">
        <v>3.43E-5</v>
      </c>
      <c r="C7" s="83">
        <v>8.9767600000000003E-2</v>
      </c>
      <c r="D7" s="84">
        <v>7.8084500000000001E-2</v>
      </c>
      <c r="E7" s="92">
        <v>4.4299999999999998E-4</v>
      </c>
      <c r="F7" s="90">
        <v>2.2143000000000002E-3</v>
      </c>
      <c r="G7" s="94">
        <v>1.8309999999999999E-3</v>
      </c>
      <c r="H7" s="91">
        <v>2.2366999999999999E-3</v>
      </c>
      <c r="I7" s="89">
        <v>7.6889999999999999E-4</v>
      </c>
    </row>
    <row r="8" spans="1:9" ht="15.75" customHeight="1">
      <c r="A8" s="1">
        <v>100000</v>
      </c>
      <c r="B8" s="82">
        <v>7.718E-4</v>
      </c>
      <c r="C8" s="83">
        <v>8.8455090999999992</v>
      </c>
      <c r="D8" s="84">
        <v>6.1233465999999996</v>
      </c>
      <c r="E8" s="92">
        <v>4.7987999999999998E-3</v>
      </c>
      <c r="F8" s="90">
        <v>2.1181200000000001E-2</v>
      </c>
      <c r="G8" s="94">
        <v>1.5377E-2</v>
      </c>
      <c r="H8" s="91">
        <v>1.7402500000000001E-2</v>
      </c>
      <c r="I8" s="89">
        <v>7.5601000000000002E-3</v>
      </c>
    </row>
    <row r="9" spans="1:9" ht="15.75" customHeight="1">
      <c r="A9" s="1">
        <v>1000000</v>
      </c>
      <c r="B9" s="82">
        <v>3.2973999999999998E-3</v>
      </c>
      <c r="C9" s="114">
        <v>906.70960090000005</v>
      </c>
      <c r="D9" s="113">
        <v>710.28378339999995</v>
      </c>
      <c r="E9" s="92">
        <v>5.4590399999999997E-2</v>
      </c>
      <c r="F9" s="90">
        <v>0.16947970000000001</v>
      </c>
      <c r="G9" s="94">
        <v>0.17386299999999999</v>
      </c>
      <c r="H9" s="91">
        <v>0.23085530000000001</v>
      </c>
      <c r="I9" s="89">
        <v>9.6343499999999999E-2</v>
      </c>
    </row>
    <row r="10" spans="1:9" ht="15.75" customHeight="1">
      <c r="A10" s="1">
        <v>10000000</v>
      </c>
      <c r="B10" s="96">
        <v>3.9987200000000001E-2</v>
      </c>
      <c r="C10" s="97"/>
      <c r="D10" s="98"/>
      <c r="E10" s="92">
        <v>0.65444250000000004</v>
      </c>
      <c r="F10" s="99">
        <v>1.8745352</v>
      </c>
      <c r="G10" s="87">
        <v>1.8603601999999999</v>
      </c>
      <c r="H10" s="91">
        <v>2.5100878999999998</v>
      </c>
      <c r="I10" s="89">
        <v>1.1909049</v>
      </c>
    </row>
    <row r="11" spans="1:9" ht="15.75" customHeight="1">
      <c r="A11" s="1">
        <v>100000000</v>
      </c>
      <c r="B11" s="96">
        <v>0.31326969999999998</v>
      </c>
      <c r="C11" s="100"/>
      <c r="D11" s="101"/>
      <c r="E11" s="92">
        <v>7.4575182</v>
      </c>
      <c r="F11" s="99">
        <v>17.480658399999999</v>
      </c>
      <c r="G11" s="87">
        <v>19.6583179</v>
      </c>
      <c r="H11" s="91">
        <v>26.923999999999999</v>
      </c>
      <c r="I11" s="89">
        <v>11.505000000000001</v>
      </c>
    </row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>
      <selection activeCell="G14" sqref="G14"/>
    </sheetView>
  </sheetViews>
  <sheetFormatPr defaultColWidth="12.6328125" defaultRowHeight="15" customHeight="1"/>
  <cols>
    <col min="1" max="1" width="16.36328125" customWidth="1"/>
    <col min="2" max="6" width="12.6328125" customWidth="1"/>
  </cols>
  <sheetData>
    <row r="1" spans="1:9" ht="15.75" customHeight="1">
      <c r="A1" s="80" t="s">
        <v>22</v>
      </c>
      <c r="B1" s="81" t="s">
        <v>1</v>
      </c>
      <c r="C1" s="61" t="s">
        <v>2</v>
      </c>
      <c r="D1" s="62" t="s">
        <v>3</v>
      </c>
      <c r="E1" s="63" t="s">
        <v>4</v>
      </c>
      <c r="F1" s="64" t="s">
        <v>5</v>
      </c>
      <c r="G1" s="65" t="s">
        <v>6</v>
      </c>
      <c r="H1" s="66" t="s">
        <v>7</v>
      </c>
      <c r="I1" s="67" t="s">
        <v>8</v>
      </c>
    </row>
    <row r="2" spans="1:9" ht="15.75" customHeight="1">
      <c r="A2" s="1">
        <v>10</v>
      </c>
      <c r="B2" s="120">
        <v>1.9999999999999999E-7</v>
      </c>
      <c r="C2" s="121">
        <v>3.9999999999999998E-7</v>
      </c>
      <c r="D2" s="122">
        <v>4.9999999999999998E-7</v>
      </c>
      <c r="E2" s="123">
        <v>1.1000000000000001E-6</v>
      </c>
      <c r="F2" s="124">
        <v>1.0699999999999999E-5</v>
      </c>
      <c r="G2" s="125">
        <v>2.7E-6</v>
      </c>
      <c r="H2" s="126">
        <v>9.9999999999999995E-7</v>
      </c>
      <c r="I2" s="127">
        <v>2.9999999999999999E-7</v>
      </c>
    </row>
    <row r="3" spans="1:9" ht="15.75" customHeight="1">
      <c r="A3" s="1">
        <v>20</v>
      </c>
      <c r="B3" s="120">
        <v>4.9999999999999998E-7</v>
      </c>
      <c r="C3" s="121">
        <v>6.9999999999999997E-7</v>
      </c>
      <c r="D3" s="122">
        <v>4.9999999999999998E-7</v>
      </c>
      <c r="E3" s="123">
        <v>1.1999999999999999E-6</v>
      </c>
      <c r="F3" s="124">
        <v>1.19E-5</v>
      </c>
      <c r="G3" s="125">
        <v>7.6000000000000001E-6</v>
      </c>
      <c r="H3" s="126">
        <v>1.5E-6</v>
      </c>
      <c r="I3" s="127">
        <v>3.9999999999999998E-7</v>
      </c>
    </row>
    <row r="4" spans="1:9" ht="15.75" customHeight="1">
      <c r="A4" s="1">
        <v>50</v>
      </c>
      <c r="B4" s="120">
        <v>4.9999999999999998E-7</v>
      </c>
      <c r="C4" s="121">
        <v>3.4000000000000001E-6</v>
      </c>
      <c r="D4" s="122">
        <v>2.7E-6</v>
      </c>
      <c r="E4" s="123">
        <v>2.7999999999999999E-6</v>
      </c>
      <c r="F4" s="124">
        <v>3.1399999999999998E-5</v>
      </c>
      <c r="G4" s="125">
        <v>6.6000000000000003E-6</v>
      </c>
      <c r="H4" s="126">
        <v>5.0000000000000004E-6</v>
      </c>
      <c r="I4" s="127">
        <v>4.0999999999999997E-6</v>
      </c>
    </row>
    <row r="5" spans="1:9" ht="15.75" customHeight="1">
      <c r="A5" s="1">
        <v>100</v>
      </c>
      <c r="B5" s="120">
        <v>4.9999999999999998E-7</v>
      </c>
      <c r="C5" s="121">
        <v>1.06E-5</v>
      </c>
      <c r="D5" s="122">
        <v>3.3000000000000003E-5</v>
      </c>
      <c r="E5" s="123">
        <v>6.3999999999999997E-6</v>
      </c>
      <c r="F5" s="124">
        <v>9.7299999999999993E-5</v>
      </c>
      <c r="G5" s="125">
        <v>1.0699999999999999E-5</v>
      </c>
      <c r="H5" s="126">
        <v>9.7999999999999993E-6</v>
      </c>
      <c r="I5" s="127">
        <v>2.34E-5</v>
      </c>
    </row>
    <row r="6" spans="1:9" ht="15.75" customHeight="1">
      <c r="A6" s="1">
        <v>1000</v>
      </c>
      <c r="B6" s="120">
        <v>3.1999999999999999E-6</v>
      </c>
      <c r="C6" s="121">
        <v>1.0342999999999999E-3</v>
      </c>
      <c r="D6" s="122">
        <v>7.1690000000000002E-4</v>
      </c>
      <c r="E6" s="123">
        <v>5.7599999999999997E-5</v>
      </c>
      <c r="F6" s="124">
        <v>4.9700000000000005E-4</v>
      </c>
      <c r="G6" s="125">
        <v>1.261E-4</v>
      </c>
      <c r="H6" s="126">
        <v>1.8780000000000001E-4</v>
      </c>
      <c r="I6" s="127">
        <v>1.166E-4</v>
      </c>
    </row>
    <row r="7" spans="1:9" ht="15.75" customHeight="1">
      <c r="A7" s="1">
        <v>10000</v>
      </c>
      <c r="B7" s="120">
        <v>2.042E-4</v>
      </c>
      <c r="C7" s="121">
        <v>0.1026591</v>
      </c>
      <c r="D7" s="122">
        <v>6.98352E-2</v>
      </c>
      <c r="E7" s="123">
        <v>6.1688000000000003E-3</v>
      </c>
      <c r="F7" s="124">
        <v>3.0206999999999999E-3</v>
      </c>
      <c r="G7" s="125">
        <v>1.3399E-3</v>
      </c>
      <c r="H7" s="126">
        <v>1.7523E-3</v>
      </c>
      <c r="I7" s="127">
        <v>7.7769999999999998E-4</v>
      </c>
    </row>
    <row r="8" spans="1:9" ht="15.75" customHeight="1">
      <c r="A8" s="1">
        <v>100000</v>
      </c>
      <c r="B8" s="120">
        <v>7.7769999999999998E-4</v>
      </c>
      <c r="C8" s="121">
        <v>10.365063900000001</v>
      </c>
      <c r="D8" s="122">
        <v>6.6000804000000004</v>
      </c>
      <c r="E8" s="123">
        <v>1.22101E-2</v>
      </c>
      <c r="F8" s="124">
        <v>2.7529000000000001E-2</v>
      </c>
      <c r="G8" s="125">
        <v>8.2454999999999994E-3</v>
      </c>
      <c r="H8" s="126">
        <v>1.7757599999999998E-2</v>
      </c>
      <c r="I8" s="127">
        <v>1.13858E-2</v>
      </c>
    </row>
    <row r="9" spans="1:9" ht="15.75" customHeight="1">
      <c r="A9" s="1">
        <v>1000000</v>
      </c>
      <c r="B9" s="120">
        <v>5.6457800000000002E-2</v>
      </c>
      <c r="C9" s="121">
        <v>905.99362759999997</v>
      </c>
      <c r="D9" s="122">
        <v>726.23423349999996</v>
      </c>
      <c r="E9" s="123">
        <v>6.2115299999999998E-2</v>
      </c>
      <c r="F9" s="124">
        <v>0.29493799999999998</v>
      </c>
      <c r="G9" s="125">
        <v>0.15935589999999999</v>
      </c>
      <c r="H9" s="126">
        <v>0.22567029999999999</v>
      </c>
      <c r="I9" s="127">
        <v>0.11488</v>
      </c>
    </row>
    <row r="10" spans="1:9" ht="15.75" customHeight="1">
      <c r="A10" s="1">
        <v>10000000</v>
      </c>
      <c r="B10" s="120">
        <v>0.50205710000000003</v>
      </c>
      <c r="C10" s="128"/>
      <c r="D10" s="128"/>
      <c r="E10" s="123">
        <v>0.70212019999999997</v>
      </c>
      <c r="F10" s="124">
        <v>3.8146852</v>
      </c>
      <c r="G10" s="125">
        <v>1.5697534</v>
      </c>
      <c r="H10" s="126">
        <v>3.2188330000000001</v>
      </c>
      <c r="I10" s="127">
        <v>1.077704</v>
      </c>
    </row>
    <row r="11" spans="1:9" ht="15.75" customHeight="1">
      <c r="A11" s="1">
        <v>100000000</v>
      </c>
      <c r="B11" s="120">
        <v>1.0258674000000001</v>
      </c>
      <c r="C11" s="128"/>
      <c r="D11" s="128"/>
      <c r="E11" s="123">
        <v>8.5270952999999992</v>
      </c>
      <c r="F11" s="124">
        <v>44.283509799999997</v>
      </c>
      <c r="G11" s="125">
        <v>15.053462700000001</v>
      </c>
      <c r="H11" s="126">
        <v>31.251078100000001</v>
      </c>
      <c r="I11" s="127">
        <v>14.7631543</v>
      </c>
    </row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1000"/>
  <sheetViews>
    <sheetView workbookViewId="0">
      <selection activeCell="E16" sqref="E16"/>
    </sheetView>
  </sheetViews>
  <sheetFormatPr defaultColWidth="12.6328125" defaultRowHeight="15" customHeight="1"/>
  <cols>
    <col min="1" max="1" width="15.90625" customWidth="1"/>
    <col min="2" max="6" width="12.6328125" customWidth="1"/>
  </cols>
  <sheetData>
    <row r="1" spans="1:11" ht="15.75" customHeight="1">
      <c r="A1" s="80" t="s">
        <v>22</v>
      </c>
      <c r="B1" s="81" t="s">
        <v>1</v>
      </c>
      <c r="C1" s="61" t="s">
        <v>2</v>
      </c>
      <c r="D1" s="62" t="s">
        <v>3</v>
      </c>
      <c r="E1" s="63" t="s">
        <v>4</v>
      </c>
      <c r="F1" s="64" t="s">
        <v>5</v>
      </c>
      <c r="G1" s="65" t="s">
        <v>6</v>
      </c>
      <c r="H1" s="66" t="s">
        <v>7</v>
      </c>
      <c r="I1" s="67" t="s">
        <v>8</v>
      </c>
      <c r="K1" s="102"/>
    </row>
    <row r="2" spans="1:11" ht="15.75" customHeight="1">
      <c r="A2" s="1">
        <v>10</v>
      </c>
      <c r="B2" s="120">
        <v>6.9999999999999997E-7</v>
      </c>
      <c r="C2" s="121">
        <v>5.9999999999999997E-7</v>
      </c>
      <c r="D2" s="122">
        <v>2.9999999999999999E-7</v>
      </c>
      <c r="E2" s="123">
        <v>1.1000000000000001E-6</v>
      </c>
      <c r="F2" s="124">
        <v>5.0000000000000004E-6</v>
      </c>
      <c r="G2" s="125">
        <v>4.4000000000000002E-6</v>
      </c>
      <c r="H2" s="126">
        <v>9.9999999999999995E-7</v>
      </c>
      <c r="I2" s="127">
        <v>8.9999999999999996E-7</v>
      </c>
    </row>
    <row r="3" spans="1:11" ht="15.75" customHeight="1">
      <c r="A3" s="1">
        <v>20</v>
      </c>
      <c r="B3" s="120">
        <v>6.9999999999999997E-7</v>
      </c>
      <c r="C3" s="121">
        <v>8.9999999999999996E-7</v>
      </c>
      <c r="D3" s="122">
        <v>4.9999999999999998E-7</v>
      </c>
      <c r="E3" s="123">
        <v>1.5E-6</v>
      </c>
      <c r="F3" s="124">
        <v>6.6000000000000003E-6</v>
      </c>
      <c r="G3" s="125">
        <v>7.1999999999999997E-6</v>
      </c>
      <c r="H3" s="126">
        <v>1.3E-6</v>
      </c>
      <c r="I3" s="127">
        <v>6.9999999999999997E-7</v>
      </c>
    </row>
    <row r="4" spans="1:11" ht="15.75" customHeight="1">
      <c r="A4" s="1">
        <v>50</v>
      </c>
      <c r="B4" s="120">
        <v>2.6000000000000001E-6</v>
      </c>
      <c r="C4" s="121">
        <v>2.9000000000000002E-6</v>
      </c>
      <c r="D4" s="122">
        <v>1.7999999999999999E-6</v>
      </c>
      <c r="E4" s="123">
        <v>2.7999999999999999E-6</v>
      </c>
      <c r="F4" s="124">
        <v>1.1600000000000001E-5</v>
      </c>
      <c r="G4" s="125">
        <v>9.7000000000000003E-6</v>
      </c>
      <c r="H4" s="126">
        <v>3.4000000000000001E-6</v>
      </c>
      <c r="I4" s="127">
        <v>4.6E-6</v>
      </c>
    </row>
    <row r="5" spans="1:11" ht="15.75" customHeight="1">
      <c r="A5" s="1">
        <v>100</v>
      </c>
      <c r="B5" s="120">
        <v>1.31E-5</v>
      </c>
      <c r="C5" s="121">
        <v>1.2999999999999999E-5</v>
      </c>
      <c r="D5" s="122">
        <v>4.6999999999999999E-6</v>
      </c>
      <c r="E5" s="123">
        <v>5.4E-6</v>
      </c>
      <c r="F5" s="124">
        <v>2.27E-5</v>
      </c>
      <c r="G5" s="125">
        <v>1.49E-5</v>
      </c>
      <c r="H5" s="126">
        <v>6.9E-6</v>
      </c>
      <c r="I5" s="127">
        <v>8.3999999999999992E-6</v>
      </c>
    </row>
    <row r="6" spans="1:11" ht="15.75" customHeight="1">
      <c r="A6" s="1">
        <v>1000</v>
      </c>
      <c r="B6" s="120">
        <v>9.3400000000000004E-4</v>
      </c>
      <c r="C6" s="121">
        <v>6.0030000000000001E-4</v>
      </c>
      <c r="D6" s="122">
        <v>4.1530000000000001E-4</v>
      </c>
      <c r="E6" s="123">
        <v>5.0300000000000003E-5</v>
      </c>
      <c r="F6" s="124">
        <v>1.8770000000000001E-4</v>
      </c>
      <c r="G6" s="125">
        <v>1.072E-4</v>
      </c>
      <c r="H6" s="126">
        <v>9.5600000000000006E-5</v>
      </c>
      <c r="I6" s="127">
        <v>8.6799999999999996E-5</v>
      </c>
    </row>
    <row r="7" spans="1:11" ht="15.75" customHeight="1">
      <c r="A7" s="1">
        <v>10000</v>
      </c>
      <c r="B7" s="120">
        <v>6.1255900000000002E-2</v>
      </c>
      <c r="C7" s="121">
        <v>4.6721600000000002E-2</v>
      </c>
      <c r="D7" s="122">
        <v>4.2513099999999998E-2</v>
      </c>
      <c r="E7" s="123">
        <v>4.2630000000000001E-4</v>
      </c>
      <c r="F7" s="124">
        <v>1.5177000000000001E-3</v>
      </c>
      <c r="G7" s="125">
        <v>1.1662E-3</v>
      </c>
      <c r="H7" s="126">
        <v>1.0918E-3</v>
      </c>
      <c r="I7" s="127">
        <v>7.561E-4</v>
      </c>
    </row>
    <row r="8" spans="1:11" ht="15.75" customHeight="1">
      <c r="A8" s="1">
        <v>100000</v>
      </c>
      <c r="B8" s="120">
        <v>10.178934999999999</v>
      </c>
      <c r="C8" s="121">
        <v>9.3647717000000004</v>
      </c>
      <c r="D8" s="122">
        <v>4.5256723000000001</v>
      </c>
      <c r="E8" s="123">
        <v>1.0396499999999999E-2</v>
      </c>
      <c r="F8" s="124">
        <v>2.5751799999999998E-2</v>
      </c>
      <c r="G8" s="125">
        <v>2.7412200000000001E-2</v>
      </c>
      <c r="H8" s="126">
        <v>2.6284200000000001E-2</v>
      </c>
      <c r="I8" s="127">
        <v>1.30028E-2</v>
      </c>
    </row>
    <row r="9" spans="1:11" ht="15.75" customHeight="1">
      <c r="A9" s="1">
        <v>1000000</v>
      </c>
      <c r="B9" s="129">
        <v>966.60574859999997</v>
      </c>
      <c r="C9" s="130">
        <v>947.85994579999999</v>
      </c>
      <c r="D9" s="122">
        <v>735.89232749999996</v>
      </c>
      <c r="E9" s="123">
        <v>0.1102291</v>
      </c>
      <c r="F9" s="124">
        <v>0.20478660000000001</v>
      </c>
      <c r="G9" s="125">
        <v>0.22128020000000001</v>
      </c>
      <c r="H9" s="126">
        <v>0.20972399999999999</v>
      </c>
      <c r="I9" s="127">
        <v>0.126634</v>
      </c>
    </row>
    <row r="10" spans="1:11" ht="15.75" customHeight="1">
      <c r="A10" s="1">
        <v>10000000</v>
      </c>
      <c r="B10" s="131"/>
      <c r="C10" s="131"/>
      <c r="D10" s="132"/>
      <c r="E10" s="123">
        <v>1.4396855</v>
      </c>
      <c r="F10" s="124">
        <v>2.0417931999999999</v>
      </c>
      <c r="G10" s="125">
        <v>2.3545300999999998</v>
      </c>
      <c r="H10" s="126">
        <v>2.5976821999999999</v>
      </c>
      <c r="I10" s="127">
        <v>0.88302329999999996</v>
      </c>
    </row>
    <row r="11" spans="1:11" ht="15.75" customHeight="1">
      <c r="A11" s="1">
        <v>100000000</v>
      </c>
      <c r="B11" s="128"/>
      <c r="C11" s="128"/>
      <c r="D11" s="133"/>
      <c r="E11" s="123">
        <v>16.978597100000002</v>
      </c>
      <c r="F11" s="124">
        <v>16.700715800000001</v>
      </c>
      <c r="G11" s="125">
        <v>16.784546899999999</v>
      </c>
      <c r="H11" s="126">
        <v>26.990527</v>
      </c>
      <c r="I11" s="127">
        <v>18.601590699999999</v>
      </c>
    </row>
    <row r="12" spans="1:11" ht="15.75" customHeight="1"/>
    <row r="13" spans="1:11" ht="15.75" customHeight="1"/>
    <row r="14" spans="1:11" ht="15.75" customHeight="1"/>
    <row r="15" spans="1:11" ht="15.75" customHeight="1"/>
    <row r="16" spans="1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Lista, nr random</vt:lpstr>
      <vt:lpstr>N Liste, nr random</vt:lpstr>
      <vt:lpstr>Lista sortata</vt:lpstr>
      <vt:lpstr>Lista aproape sortata (~98%)</vt:lpstr>
      <vt:lpstr>Lista invers sortata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Curmei</cp:lastModifiedBy>
  <dcterms:modified xsi:type="dcterms:W3CDTF">2026-05-20T16:07:51Z</dcterms:modified>
</cp:coreProperties>
</file>